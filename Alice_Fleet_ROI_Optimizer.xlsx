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xinxuangan_home/Downloads/Projects-DA.ipynb/Project_Alice_Aviation.ipynb/"/>
    </mc:Choice>
  </mc:AlternateContent>
  <xr:revisionPtr revIDLastSave="0" documentId="13_ncr:1_{31DA8B5D-6C6E-2D48-86CC-1F3C1290A970}" xr6:coauthVersionLast="47" xr6:coauthVersionMax="47" xr10:uidLastSave="{00000000-0000-0000-0000-000000000000}"/>
  <bookViews>
    <workbookView xWindow="-20" yWindow="780" windowWidth="34200" windowHeight="20060" xr2:uid="{545C68F0-ED14-434A-8B04-9F97BEFF5D98}"/>
  </bookViews>
  <sheets>
    <sheet name="Executive Summary" sheetId="3" r:id="rId1"/>
    <sheet name="Alice_ROI_Analysis" sheetId="23" r:id="rId2"/>
    <sheet name="Payload Breakeven" sheetId="22" r:id="rId3"/>
    <sheet name="Firmware AB Testing" sheetId="24" r:id="rId4"/>
    <sheet name="Tool_Fleet_Optimization_Solver" sheetId="19" r:id="rId5"/>
    <sheet name="Tool_MissionUnit_ROI" sheetId="10" r:id="rId6"/>
  </sheets>
  <definedNames>
    <definedName name="ExternalData_1" localSheetId="1" hidden="1">Alice_ROI_Analysis!$A$1:$H$101</definedName>
    <definedName name="solver_adj" localSheetId="4" hidden="1">Tool_Fleet_Optimization_Solver!$D$2:$D$101</definedName>
    <definedName name="solver_cvg" localSheetId="4" hidden="1">0.0001</definedName>
    <definedName name="solver_drv" localSheetId="4" hidden="1">1</definedName>
    <definedName name="solver_eng" localSheetId="4" hidden="1">2</definedName>
    <definedName name="solver_itr" localSheetId="4" hidden="1">2147483647</definedName>
    <definedName name="solver_lhs1" localSheetId="4" hidden="1">Tool_Fleet_Optimization_Solver!$D$2:$D$101</definedName>
    <definedName name="solver_lhs2" localSheetId="4" hidden="1">Tool_Fleet_Optimization_Solver!$K$7</definedName>
    <definedName name="solver_lin" localSheetId="4" hidden="1">1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opt" localSheetId="4" hidden="1">Tool_Fleet_Optimization_Solver!$K$9</definedName>
    <definedName name="solver_pre" localSheetId="4" hidden="1">0.000001</definedName>
    <definedName name="solver_rbv" localSheetId="4" hidden="1">1</definedName>
    <definedName name="solver_rel1" localSheetId="4" hidden="1">5</definedName>
    <definedName name="solver_rel2" localSheetId="4" hidden="1">1</definedName>
    <definedName name="solver_rhs1" localSheetId="4" hidden="1">"binary"</definedName>
    <definedName name="solver_rhs2" localSheetId="4" hidden="1">8000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2</definedName>
    <definedName name="val_battery_cost">'Executive Summary'!$G$6</definedName>
    <definedName name="val_capacity">'Executive Summary'!$G$3</definedName>
    <definedName name="val_charging_loss">'Executive Summary'!$G$10</definedName>
    <definedName name="val_cycle">'Executive Summary'!$G$7</definedName>
    <definedName name="val_elec_rate">'Executive Summary'!$G$5</definedName>
    <definedName name="val_ground_ops">'Executive Summary'!$G$9</definedName>
    <definedName name="val_max_payload">'Executive Summary'!$G$4</definedName>
    <definedName name="val_stress_factor">'Executive Summary'!$G$8</definedName>
    <definedName name="val_yield_rate">'Executive Summary'!$G$11</definedName>
  </definedNames>
  <calcPr calcId="191029"/>
  <pivotCaches>
    <pivotCache cacheId="8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0" l="1"/>
  <c r="D15" i="10"/>
  <c r="D17" i="10" s="1"/>
  <c r="D21" i="10" s="1"/>
  <c r="C2" i="19"/>
  <c r="C3" i="19"/>
  <c r="C4" i="19"/>
  <c r="C5" i="19"/>
  <c r="F5" i="19" s="1"/>
  <c r="C6" i="19"/>
  <c r="F6" i="19" s="1"/>
  <c r="C7" i="19"/>
  <c r="F7" i="19" s="1"/>
  <c r="C8" i="19"/>
  <c r="F8" i="19" s="1"/>
  <c r="C9" i="19"/>
  <c r="C10" i="19"/>
  <c r="C11" i="19"/>
  <c r="C12" i="19"/>
  <c r="C13" i="19"/>
  <c r="F13" i="19" s="1"/>
  <c r="C14" i="19"/>
  <c r="F14" i="19" s="1"/>
  <c r="C15" i="19"/>
  <c r="F15" i="19" s="1"/>
  <c r="C16" i="19"/>
  <c r="F16" i="19" s="1"/>
  <c r="C17" i="19"/>
  <c r="C18" i="19"/>
  <c r="C19" i="19"/>
  <c r="C20" i="19"/>
  <c r="C21" i="19"/>
  <c r="F21" i="19" s="1"/>
  <c r="C22" i="19"/>
  <c r="F22" i="19" s="1"/>
  <c r="C23" i="19"/>
  <c r="F23" i="19" s="1"/>
  <c r="C24" i="19"/>
  <c r="F24" i="19" s="1"/>
  <c r="C25" i="19"/>
  <c r="C26" i="19"/>
  <c r="C27" i="19"/>
  <c r="C28" i="19"/>
  <c r="C29" i="19"/>
  <c r="F29" i="19" s="1"/>
  <c r="C30" i="19"/>
  <c r="F30" i="19" s="1"/>
  <c r="C31" i="19"/>
  <c r="F31" i="19" s="1"/>
  <c r="C32" i="19"/>
  <c r="F32" i="19" s="1"/>
  <c r="C33" i="19"/>
  <c r="C34" i="19"/>
  <c r="C35" i="19"/>
  <c r="C36" i="19"/>
  <c r="C37" i="19"/>
  <c r="F37" i="19" s="1"/>
  <c r="C38" i="19"/>
  <c r="F38" i="19" s="1"/>
  <c r="C39" i="19"/>
  <c r="F39" i="19" s="1"/>
  <c r="C40" i="19"/>
  <c r="F40" i="19" s="1"/>
  <c r="C41" i="19"/>
  <c r="C42" i="19"/>
  <c r="C43" i="19"/>
  <c r="C44" i="19"/>
  <c r="C45" i="19"/>
  <c r="F45" i="19" s="1"/>
  <c r="C46" i="19"/>
  <c r="F46" i="19" s="1"/>
  <c r="C47" i="19"/>
  <c r="F47" i="19" s="1"/>
  <c r="C48" i="19"/>
  <c r="F48" i="19" s="1"/>
  <c r="C49" i="19"/>
  <c r="C50" i="19"/>
  <c r="C51" i="19"/>
  <c r="C52" i="19"/>
  <c r="C53" i="19"/>
  <c r="F53" i="19" s="1"/>
  <c r="C54" i="19"/>
  <c r="F54" i="19" s="1"/>
  <c r="C55" i="19"/>
  <c r="F55" i="19" s="1"/>
  <c r="C56" i="19"/>
  <c r="F56" i="19" s="1"/>
  <c r="C57" i="19"/>
  <c r="C58" i="19"/>
  <c r="C59" i="19"/>
  <c r="C60" i="19"/>
  <c r="C61" i="19"/>
  <c r="F61" i="19" s="1"/>
  <c r="C62" i="19"/>
  <c r="F62" i="19" s="1"/>
  <c r="C63" i="19"/>
  <c r="F63" i="19" s="1"/>
  <c r="C64" i="19"/>
  <c r="F64" i="19" s="1"/>
  <c r="C65" i="19"/>
  <c r="C66" i="19"/>
  <c r="C67" i="19"/>
  <c r="C68" i="19"/>
  <c r="C69" i="19"/>
  <c r="F69" i="19" s="1"/>
  <c r="C70" i="19"/>
  <c r="F70" i="19" s="1"/>
  <c r="C71" i="19"/>
  <c r="F71" i="19" s="1"/>
  <c r="C72" i="19"/>
  <c r="F72" i="19" s="1"/>
  <c r="C73" i="19"/>
  <c r="C74" i="19"/>
  <c r="C75" i="19"/>
  <c r="C76" i="19"/>
  <c r="C77" i="19"/>
  <c r="F77" i="19" s="1"/>
  <c r="C78" i="19"/>
  <c r="F78" i="19" s="1"/>
  <c r="C79" i="19"/>
  <c r="F79" i="19" s="1"/>
  <c r="C80" i="19"/>
  <c r="F80" i="19" s="1"/>
  <c r="C81" i="19"/>
  <c r="C82" i="19"/>
  <c r="C83" i="19"/>
  <c r="C84" i="19"/>
  <c r="C85" i="19"/>
  <c r="F85" i="19" s="1"/>
  <c r="C86" i="19"/>
  <c r="F86" i="19" s="1"/>
  <c r="C87" i="19"/>
  <c r="F87" i="19" s="1"/>
  <c r="C88" i="19"/>
  <c r="F88" i="19" s="1"/>
  <c r="C89" i="19"/>
  <c r="C90" i="19"/>
  <c r="C91" i="19"/>
  <c r="C92" i="19"/>
  <c r="C93" i="19"/>
  <c r="F93" i="19" s="1"/>
  <c r="C94" i="19"/>
  <c r="F94" i="19" s="1"/>
  <c r="C95" i="19"/>
  <c r="F95" i="19" s="1"/>
  <c r="C96" i="19"/>
  <c r="F96" i="19" s="1"/>
  <c r="C97" i="19"/>
  <c r="C98" i="19"/>
  <c r="C99" i="19"/>
  <c r="C100" i="19"/>
  <c r="C101" i="19"/>
  <c r="F101" i="19" s="1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2" i="19"/>
  <c r="C8" i="24"/>
  <c r="G17" i="3"/>
  <c r="K2" i="23"/>
  <c r="K3" i="23"/>
  <c r="K4" i="23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K41" i="23"/>
  <c r="K42" i="23"/>
  <c r="K43" i="23"/>
  <c r="K44" i="23"/>
  <c r="K45" i="23"/>
  <c r="K46" i="23"/>
  <c r="K47" i="23"/>
  <c r="K48" i="23"/>
  <c r="K49" i="23"/>
  <c r="K50" i="23"/>
  <c r="K51" i="23"/>
  <c r="K52" i="23"/>
  <c r="K53" i="23"/>
  <c r="K54" i="23"/>
  <c r="K55" i="23"/>
  <c r="K56" i="23"/>
  <c r="K57" i="23"/>
  <c r="K58" i="23"/>
  <c r="K59" i="23"/>
  <c r="K60" i="23"/>
  <c r="K61" i="23"/>
  <c r="K62" i="23"/>
  <c r="K63" i="23"/>
  <c r="K64" i="23"/>
  <c r="K65" i="23"/>
  <c r="K66" i="23"/>
  <c r="K67" i="23"/>
  <c r="K68" i="23"/>
  <c r="K69" i="23"/>
  <c r="K70" i="23"/>
  <c r="K71" i="23"/>
  <c r="K72" i="23"/>
  <c r="K73" i="23"/>
  <c r="K74" i="23"/>
  <c r="K75" i="23"/>
  <c r="K76" i="23"/>
  <c r="K77" i="23"/>
  <c r="K78" i="23"/>
  <c r="K79" i="23"/>
  <c r="K80" i="23"/>
  <c r="K81" i="23"/>
  <c r="K82" i="23"/>
  <c r="K83" i="23"/>
  <c r="K84" i="23"/>
  <c r="K85" i="23"/>
  <c r="K86" i="23"/>
  <c r="K87" i="23"/>
  <c r="K88" i="23"/>
  <c r="K89" i="23"/>
  <c r="K90" i="23"/>
  <c r="K91" i="23"/>
  <c r="K92" i="23"/>
  <c r="K93" i="23"/>
  <c r="K94" i="23"/>
  <c r="K95" i="23"/>
  <c r="K96" i="23"/>
  <c r="K97" i="23"/>
  <c r="K98" i="23"/>
  <c r="K99" i="23"/>
  <c r="K100" i="23"/>
  <c r="K101" i="23"/>
  <c r="J2" i="23"/>
  <c r="J3" i="23"/>
  <c r="J4" i="23"/>
  <c r="J5" i="23"/>
  <c r="L5" i="23" s="1"/>
  <c r="J6" i="23"/>
  <c r="L6" i="23" s="1"/>
  <c r="J7" i="23"/>
  <c r="L7" i="23" s="1"/>
  <c r="J8" i="23"/>
  <c r="L8" i="23" s="1"/>
  <c r="J9" i="23"/>
  <c r="J10" i="23"/>
  <c r="J11" i="23"/>
  <c r="J12" i="23"/>
  <c r="J13" i="23"/>
  <c r="L13" i="23" s="1"/>
  <c r="J14" i="23"/>
  <c r="L14" i="23" s="1"/>
  <c r="J15" i="23"/>
  <c r="L15" i="23" s="1"/>
  <c r="J16" i="23"/>
  <c r="L16" i="23" s="1"/>
  <c r="J17" i="23"/>
  <c r="J18" i="23"/>
  <c r="J19" i="23"/>
  <c r="J20" i="23"/>
  <c r="J21" i="23"/>
  <c r="L21" i="23" s="1"/>
  <c r="J22" i="23"/>
  <c r="L22" i="23" s="1"/>
  <c r="J23" i="23"/>
  <c r="L23" i="23" s="1"/>
  <c r="J24" i="23"/>
  <c r="L24" i="23" s="1"/>
  <c r="J25" i="23"/>
  <c r="J26" i="23"/>
  <c r="J27" i="23"/>
  <c r="J28" i="23"/>
  <c r="J29" i="23"/>
  <c r="L29" i="23" s="1"/>
  <c r="J30" i="23"/>
  <c r="L30" i="23" s="1"/>
  <c r="J31" i="23"/>
  <c r="L31" i="23" s="1"/>
  <c r="J32" i="23"/>
  <c r="L32" i="23" s="1"/>
  <c r="J33" i="23"/>
  <c r="J34" i="23"/>
  <c r="J35" i="23"/>
  <c r="J36" i="23"/>
  <c r="J37" i="23"/>
  <c r="L37" i="23" s="1"/>
  <c r="J38" i="23"/>
  <c r="L38" i="23" s="1"/>
  <c r="J39" i="23"/>
  <c r="L39" i="23" s="1"/>
  <c r="J40" i="23"/>
  <c r="L40" i="23" s="1"/>
  <c r="J41" i="23"/>
  <c r="J42" i="23"/>
  <c r="J43" i="23"/>
  <c r="J44" i="23"/>
  <c r="J45" i="23"/>
  <c r="L45" i="23" s="1"/>
  <c r="J46" i="23"/>
  <c r="L46" i="23" s="1"/>
  <c r="J47" i="23"/>
  <c r="L47" i="23" s="1"/>
  <c r="J48" i="23"/>
  <c r="L48" i="23" s="1"/>
  <c r="J49" i="23"/>
  <c r="J50" i="23"/>
  <c r="J51" i="23"/>
  <c r="J52" i="23"/>
  <c r="J53" i="23"/>
  <c r="L53" i="23" s="1"/>
  <c r="J54" i="23"/>
  <c r="L54" i="23" s="1"/>
  <c r="J55" i="23"/>
  <c r="L55" i="23" s="1"/>
  <c r="J56" i="23"/>
  <c r="L56" i="23" s="1"/>
  <c r="J57" i="23"/>
  <c r="J58" i="23"/>
  <c r="J59" i="23"/>
  <c r="J60" i="23"/>
  <c r="J61" i="23"/>
  <c r="L61" i="23" s="1"/>
  <c r="J62" i="23"/>
  <c r="L62" i="23" s="1"/>
  <c r="J63" i="23"/>
  <c r="L63" i="23" s="1"/>
  <c r="J64" i="23"/>
  <c r="L64" i="23" s="1"/>
  <c r="J65" i="23"/>
  <c r="J66" i="23"/>
  <c r="J67" i="23"/>
  <c r="J68" i="23"/>
  <c r="J69" i="23"/>
  <c r="L69" i="23" s="1"/>
  <c r="J70" i="23"/>
  <c r="L70" i="23" s="1"/>
  <c r="J71" i="23"/>
  <c r="L71" i="23" s="1"/>
  <c r="J72" i="23"/>
  <c r="L72" i="23" s="1"/>
  <c r="J73" i="23"/>
  <c r="J74" i="23"/>
  <c r="J75" i="23"/>
  <c r="J76" i="23"/>
  <c r="J77" i="23"/>
  <c r="L77" i="23" s="1"/>
  <c r="J78" i="23"/>
  <c r="L78" i="23" s="1"/>
  <c r="J79" i="23"/>
  <c r="L79" i="23" s="1"/>
  <c r="J80" i="23"/>
  <c r="L80" i="23" s="1"/>
  <c r="J81" i="23"/>
  <c r="J82" i="23"/>
  <c r="J83" i="23"/>
  <c r="J84" i="23"/>
  <c r="J85" i="23"/>
  <c r="L85" i="23" s="1"/>
  <c r="J86" i="23"/>
  <c r="L86" i="23" s="1"/>
  <c r="J87" i="23"/>
  <c r="L87" i="23" s="1"/>
  <c r="J88" i="23"/>
  <c r="L88" i="23" s="1"/>
  <c r="J89" i="23"/>
  <c r="J90" i="23"/>
  <c r="J91" i="23"/>
  <c r="J92" i="23"/>
  <c r="J93" i="23"/>
  <c r="L93" i="23" s="1"/>
  <c r="J94" i="23"/>
  <c r="L94" i="23" s="1"/>
  <c r="J95" i="23"/>
  <c r="L95" i="23" s="1"/>
  <c r="J96" i="23"/>
  <c r="L96" i="23" s="1"/>
  <c r="J97" i="23"/>
  <c r="J98" i="23"/>
  <c r="J99" i="23"/>
  <c r="J100" i="23"/>
  <c r="J101" i="23"/>
  <c r="L101" i="23" s="1"/>
  <c r="I2" i="23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K10" i="19"/>
  <c r="D18" i="10"/>
  <c r="D20" i="10"/>
  <c r="D22" i="10"/>
  <c r="F2" i="19"/>
  <c r="F3" i="19"/>
  <c r="F4" i="19"/>
  <c r="F9" i="19"/>
  <c r="F10" i="19"/>
  <c r="F11" i="19"/>
  <c r="F12" i="19"/>
  <c r="F17" i="19"/>
  <c r="F18" i="19"/>
  <c r="F19" i="19"/>
  <c r="F20" i="19"/>
  <c r="F25" i="19"/>
  <c r="F26" i="19"/>
  <c r="F27" i="19"/>
  <c r="F28" i="19"/>
  <c r="F33" i="19"/>
  <c r="F34" i="19"/>
  <c r="F35" i="19"/>
  <c r="F36" i="19"/>
  <c r="F41" i="19"/>
  <c r="F42" i="19"/>
  <c r="F43" i="19"/>
  <c r="F44" i="19"/>
  <c r="F49" i="19"/>
  <c r="F50" i="19"/>
  <c r="F51" i="19"/>
  <c r="F52" i="19"/>
  <c r="F57" i="19"/>
  <c r="F58" i="19"/>
  <c r="F59" i="19"/>
  <c r="F60" i="19"/>
  <c r="F65" i="19"/>
  <c r="F66" i="19"/>
  <c r="F67" i="19"/>
  <c r="F68" i="19"/>
  <c r="F73" i="19"/>
  <c r="F74" i="19"/>
  <c r="F75" i="19"/>
  <c r="F76" i="19"/>
  <c r="F81" i="19"/>
  <c r="F82" i="19"/>
  <c r="F83" i="19"/>
  <c r="F84" i="19"/>
  <c r="F89" i="19"/>
  <c r="F90" i="19"/>
  <c r="F91" i="19"/>
  <c r="F92" i="19"/>
  <c r="F97" i="19"/>
  <c r="F98" i="19"/>
  <c r="F99" i="19"/>
  <c r="F100" i="19"/>
  <c r="C7" i="24"/>
  <c r="C6" i="24"/>
  <c r="M96" i="23" l="1"/>
  <c r="N96" i="23" s="1"/>
  <c r="M88" i="23"/>
  <c r="N88" i="23" s="1"/>
  <c r="M80" i="23"/>
  <c r="N80" i="23" s="1"/>
  <c r="M72" i="23"/>
  <c r="B72" i="19" s="1"/>
  <c r="M64" i="23"/>
  <c r="N64" i="23" s="1"/>
  <c r="M56" i="23"/>
  <c r="B56" i="19" s="1"/>
  <c r="M48" i="23"/>
  <c r="N48" i="23" s="1"/>
  <c r="M40" i="23"/>
  <c r="N40" i="23" s="1"/>
  <c r="M32" i="23"/>
  <c r="N32" i="23" s="1"/>
  <c r="M24" i="23"/>
  <c r="N24" i="23" s="1"/>
  <c r="M16" i="23"/>
  <c r="N16" i="23" s="1"/>
  <c r="M8" i="23"/>
  <c r="N8" i="23" s="1"/>
  <c r="M87" i="23"/>
  <c r="N87" i="23" s="1"/>
  <c r="M71" i="23"/>
  <c r="B71" i="19" s="1"/>
  <c r="M63" i="23"/>
  <c r="N63" i="23" s="1"/>
  <c r="M55" i="23"/>
  <c r="B55" i="19" s="1"/>
  <c r="M47" i="23"/>
  <c r="N47" i="23" s="1"/>
  <c r="M31" i="23"/>
  <c r="N31" i="23" s="1"/>
  <c r="M15" i="23"/>
  <c r="N15" i="23" s="1"/>
  <c r="M7" i="23"/>
  <c r="B7" i="19" s="1"/>
  <c r="M94" i="23"/>
  <c r="B94" i="19" s="1"/>
  <c r="M86" i="23"/>
  <c r="B86" i="19" s="1"/>
  <c r="M78" i="23"/>
  <c r="B78" i="19" s="1"/>
  <c r="M70" i="23"/>
  <c r="B70" i="19" s="1"/>
  <c r="M62" i="23"/>
  <c r="B62" i="19" s="1"/>
  <c r="M54" i="23"/>
  <c r="B54" i="19" s="1"/>
  <c r="M46" i="23"/>
  <c r="B46" i="19" s="1"/>
  <c r="M38" i="23"/>
  <c r="B38" i="19" s="1"/>
  <c r="M30" i="23"/>
  <c r="B30" i="19" s="1"/>
  <c r="M22" i="23"/>
  <c r="B22" i="19" s="1"/>
  <c r="M14" i="23"/>
  <c r="B14" i="19" s="1"/>
  <c r="M6" i="23"/>
  <c r="B6" i="19" s="1"/>
  <c r="M95" i="23"/>
  <c r="B95" i="19" s="1"/>
  <c r="M39" i="23"/>
  <c r="B39" i="19" s="1"/>
  <c r="M79" i="23"/>
  <c r="B79" i="19" s="1"/>
  <c r="M23" i="23"/>
  <c r="B23" i="19" s="1"/>
  <c r="N30" i="23"/>
  <c r="N72" i="23"/>
  <c r="N56" i="23"/>
  <c r="B96" i="19"/>
  <c r="B88" i="19"/>
  <c r="B80" i="19"/>
  <c r="B32" i="19"/>
  <c r="B24" i="19"/>
  <c r="B16" i="19"/>
  <c r="B8" i="19"/>
  <c r="M101" i="23"/>
  <c r="M93" i="23"/>
  <c r="M85" i="23"/>
  <c r="M77" i="23"/>
  <c r="M69" i="23"/>
  <c r="M61" i="23"/>
  <c r="M53" i="23"/>
  <c r="M45" i="23"/>
  <c r="M37" i="23"/>
  <c r="M29" i="23"/>
  <c r="M21" i="23"/>
  <c r="M13" i="23"/>
  <c r="M5" i="23"/>
  <c r="L100" i="23"/>
  <c r="M100" i="23" s="1"/>
  <c r="L92" i="23"/>
  <c r="M92" i="23" s="1"/>
  <c r="L84" i="23"/>
  <c r="M84" i="23" s="1"/>
  <c r="L76" i="23"/>
  <c r="M76" i="23" s="1"/>
  <c r="L68" i="23"/>
  <c r="M68" i="23" s="1"/>
  <c r="L60" i="23"/>
  <c r="M60" i="23" s="1"/>
  <c r="L52" i="23"/>
  <c r="M52" i="23" s="1"/>
  <c r="L44" i="23"/>
  <c r="M44" i="23" s="1"/>
  <c r="L36" i="23"/>
  <c r="M36" i="23" s="1"/>
  <c r="L28" i="23"/>
  <c r="M28" i="23" s="1"/>
  <c r="L20" i="23"/>
  <c r="M20" i="23" s="1"/>
  <c r="L12" i="23"/>
  <c r="M12" i="23" s="1"/>
  <c r="L4" i="23"/>
  <c r="M4" i="23" s="1"/>
  <c r="L99" i="23"/>
  <c r="M99" i="23" s="1"/>
  <c r="L91" i="23"/>
  <c r="M91" i="23" s="1"/>
  <c r="L83" i="23"/>
  <c r="M83" i="23" s="1"/>
  <c r="L75" i="23"/>
  <c r="M75" i="23" s="1"/>
  <c r="L67" i="23"/>
  <c r="M67" i="23" s="1"/>
  <c r="L59" i="23"/>
  <c r="M59" i="23" s="1"/>
  <c r="L51" i="23"/>
  <c r="M51" i="23" s="1"/>
  <c r="L43" i="23"/>
  <c r="M43" i="23" s="1"/>
  <c r="L35" i="23"/>
  <c r="M35" i="23" s="1"/>
  <c r="L27" i="23"/>
  <c r="M27" i="23" s="1"/>
  <c r="L19" i="23"/>
  <c r="M19" i="23" s="1"/>
  <c r="L11" i="23"/>
  <c r="M11" i="23" s="1"/>
  <c r="L3" i="23"/>
  <c r="M3" i="23" s="1"/>
  <c r="L98" i="23"/>
  <c r="M98" i="23" s="1"/>
  <c r="L90" i="23"/>
  <c r="M90" i="23" s="1"/>
  <c r="L82" i="23"/>
  <c r="M82" i="23" s="1"/>
  <c r="L74" i="23"/>
  <c r="M74" i="23" s="1"/>
  <c r="L66" i="23"/>
  <c r="M66" i="23" s="1"/>
  <c r="L58" i="23"/>
  <c r="M58" i="23" s="1"/>
  <c r="L50" i="23"/>
  <c r="M50" i="23" s="1"/>
  <c r="L42" i="23"/>
  <c r="M42" i="23" s="1"/>
  <c r="L34" i="23"/>
  <c r="M34" i="23" s="1"/>
  <c r="L26" i="23"/>
  <c r="M26" i="23" s="1"/>
  <c r="L18" i="23"/>
  <c r="M18" i="23" s="1"/>
  <c r="L10" i="23"/>
  <c r="M10" i="23" s="1"/>
  <c r="L2" i="23"/>
  <c r="M2" i="23" s="1"/>
  <c r="L97" i="23"/>
  <c r="M97" i="23" s="1"/>
  <c r="L89" i="23"/>
  <c r="M89" i="23" s="1"/>
  <c r="L81" i="23"/>
  <c r="M81" i="23" s="1"/>
  <c r="L73" i="23"/>
  <c r="M73" i="23" s="1"/>
  <c r="L65" i="23"/>
  <c r="M65" i="23" s="1"/>
  <c r="L57" i="23"/>
  <c r="M57" i="23" s="1"/>
  <c r="L49" i="23"/>
  <c r="M49" i="23" s="1"/>
  <c r="L41" i="23"/>
  <c r="M41" i="23" s="1"/>
  <c r="L33" i="23"/>
  <c r="M33" i="23" s="1"/>
  <c r="L25" i="23"/>
  <c r="M25" i="23" s="1"/>
  <c r="L17" i="23"/>
  <c r="M17" i="23" s="1"/>
  <c r="L9" i="23"/>
  <c r="M9" i="23" s="1"/>
  <c r="K7" i="19"/>
  <c r="K11" i="19" s="1"/>
  <c r="D23" i="10"/>
  <c r="D24" i="10" s="1"/>
  <c r="D25" i="10" s="1"/>
  <c r="N94" i="23" l="1"/>
  <c r="B64" i="19"/>
  <c r="B63" i="19"/>
  <c r="B40" i="19"/>
  <c r="B87" i="19"/>
  <c r="B48" i="19"/>
  <c r="N71" i="23"/>
  <c r="N22" i="23"/>
  <c r="B47" i="19"/>
  <c r="N78" i="23"/>
  <c r="B31" i="19"/>
  <c r="N62" i="23"/>
  <c r="N95" i="23"/>
  <c r="N14" i="23"/>
  <c r="N86" i="23"/>
  <c r="N39" i="23"/>
  <c r="B15" i="19"/>
  <c r="E15" i="19" s="1"/>
  <c r="N7" i="23"/>
  <c r="N54" i="23"/>
  <c r="N6" i="23"/>
  <c r="N70" i="23"/>
  <c r="N55" i="23"/>
  <c r="N38" i="23"/>
  <c r="N46" i="23"/>
  <c r="N79" i="23"/>
  <c r="N23" i="23"/>
  <c r="N10" i="23"/>
  <c r="B10" i="19"/>
  <c r="E10" i="19" s="1"/>
  <c r="N35" i="23"/>
  <c r="B35" i="19"/>
  <c r="E35" i="19" s="1"/>
  <c r="B51" i="19"/>
  <c r="E51" i="19" s="1"/>
  <c r="N51" i="23"/>
  <c r="B18" i="19"/>
  <c r="E18" i="19" s="1"/>
  <c r="N18" i="23"/>
  <c r="B76" i="19"/>
  <c r="N76" i="23"/>
  <c r="B52" i="19"/>
  <c r="E52" i="19" s="1"/>
  <c r="N52" i="23"/>
  <c r="B60" i="19"/>
  <c r="E60" i="19" s="1"/>
  <c r="N60" i="23"/>
  <c r="B43" i="19"/>
  <c r="E43" i="19" s="1"/>
  <c r="N43" i="23"/>
  <c r="B12" i="19"/>
  <c r="E12" i="19" s="1"/>
  <c r="N12" i="23"/>
  <c r="B58" i="19"/>
  <c r="E58" i="19" s="1"/>
  <c r="N58" i="23"/>
  <c r="B44" i="19"/>
  <c r="E44" i="19" s="1"/>
  <c r="N44" i="23"/>
  <c r="N90" i="23"/>
  <c r="B90" i="19"/>
  <c r="E90" i="19" s="1"/>
  <c r="N66" i="23"/>
  <c r="B66" i="19"/>
  <c r="E66" i="19" s="1"/>
  <c r="N53" i="23"/>
  <c r="B53" i="19"/>
  <c r="E53" i="19" s="1"/>
  <c r="N9" i="23"/>
  <c r="B9" i="19"/>
  <c r="E9" i="19" s="1"/>
  <c r="N98" i="23"/>
  <c r="B98" i="19"/>
  <c r="E98" i="19" s="1"/>
  <c r="N81" i="23"/>
  <c r="B81" i="19"/>
  <c r="E81" i="19" s="1"/>
  <c r="B28" i="19"/>
  <c r="E28" i="19" s="1"/>
  <c r="N28" i="23"/>
  <c r="N5" i="23"/>
  <c r="B5" i="19"/>
  <c r="E5" i="19" s="1"/>
  <c r="B75" i="19"/>
  <c r="E75" i="19" s="1"/>
  <c r="N75" i="23"/>
  <c r="B13" i="19"/>
  <c r="E13" i="19" s="1"/>
  <c r="N13" i="23"/>
  <c r="N68" i="23"/>
  <c r="B68" i="19"/>
  <c r="E68" i="19" s="1"/>
  <c r="N34" i="23"/>
  <c r="B34" i="19"/>
  <c r="E34" i="19" s="1"/>
  <c r="B84" i="19"/>
  <c r="E84" i="19" s="1"/>
  <c r="N84" i="23"/>
  <c r="N74" i="23"/>
  <c r="B74" i="19"/>
  <c r="E74" i="19" s="1"/>
  <c r="N17" i="23"/>
  <c r="B17" i="19"/>
  <c r="E17" i="19" s="1"/>
  <c r="N67" i="23"/>
  <c r="B67" i="19"/>
  <c r="E67" i="19" s="1"/>
  <c r="B82" i="19"/>
  <c r="E82" i="19" s="1"/>
  <c r="N82" i="23"/>
  <c r="N25" i="23"/>
  <c r="B25" i="19"/>
  <c r="E25" i="19" s="1"/>
  <c r="B11" i="19"/>
  <c r="E11" i="19" s="1"/>
  <c r="N11" i="23"/>
  <c r="B4" i="19"/>
  <c r="E4" i="19" s="1"/>
  <c r="N4" i="23"/>
  <c r="N33" i="23"/>
  <c r="B33" i="19"/>
  <c r="E33" i="19" s="1"/>
  <c r="B27" i="19"/>
  <c r="E27" i="19" s="1"/>
  <c r="N27" i="23"/>
  <c r="B85" i="19"/>
  <c r="E85" i="19" s="1"/>
  <c r="N85" i="23"/>
  <c r="N41" i="23"/>
  <c r="B41" i="19"/>
  <c r="E41" i="19" s="1"/>
  <c r="B29" i="19"/>
  <c r="E29" i="19" s="1"/>
  <c r="N29" i="23"/>
  <c r="B93" i="19"/>
  <c r="E93" i="19" s="1"/>
  <c r="N93" i="23"/>
  <c r="N65" i="23"/>
  <c r="B65" i="19"/>
  <c r="E65" i="19" s="1"/>
  <c r="N20" i="23"/>
  <c r="B20" i="19"/>
  <c r="E20" i="19" s="1"/>
  <c r="B61" i="19"/>
  <c r="E61" i="19" s="1"/>
  <c r="N61" i="23"/>
  <c r="B3" i="19"/>
  <c r="E3" i="19" s="1"/>
  <c r="N3" i="23"/>
  <c r="N99" i="23"/>
  <c r="B99" i="19"/>
  <c r="E99" i="19" s="1"/>
  <c r="N50" i="23"/>
  <c r="B50" i="19"/>
  <c r="E50" i="19" s="1"/>
  <c r="B36" i="19"/>
  <c r="E36" i="19" s="1"/>
  <c r="N36" i="23"/>
  <c r="N19" i="23"/>
  <c r="B19" i="19"/>
  <c r="E19" i="19" s="1"/>
  <c r="N77" i="23"/>
  <c r="B77" i="19"/>
  <c r="E77" i="19" s="1"/>
  <c r="G14" i="3"/>
  <c r="G18" i="3" s="1"/>
  <c r="N2" i="23"/>
  <c r="B2" i="19"/>
  <c r="E2" i="19" s="1"/>
  <c r="B21" i="19"/>
  <c r="E21" i="19" s="1"/>
  <c r="N21" i="23"/>
  <c r="N49" i="23"/>
  <c r="B49" i="19"/>
  <c r="E49" i="19" s="1"/>
  <c r="N37" i="23"/>
  <c r="B37" i="19"/>
  <c r="E37" i="19" s="1"/>
  <c r="B101" i="19"/>
  <c r="E101" i="19" s="1"/>
  <c r="N101" i="23"/>
  <c r="N26" i="23"/>
  <c r="B26" i="19"/>
  <c r="E26" i="19" s="1"/>
  <c r="B83" i="19"/>
  <c r="E83" i="19" s="1"/>
  <c r="N83" i="23"/>
  <c r="N73" i="23"/>
  <c r="B73" i="19"/>
  <c r="E73" i="19" s="1"/>
  <c r="B59" i="19"/>
  <c r="E59" i="19" s="1"/>
  <c r="N59" i="23"/>
  <c r="B91" i="19"/>
  <c r="E91" i="19" s="1"/>
  <c r="N91" i="23"/>
  <c r="N42" i="23"/>
  <c r="B42" i="19"/>
  <c r="E42" i="19" s="1"/>
  <c r="N92" i="23"/>
  <c r="B92" i="19"/>
  <c r="E92" i="19" s="1"/>
  <c r="B69" i="19"/>
  <c r="E69" i="19" s="1"/>
  <c r="N69" i="23"/>
  <c r="N89" i="23"/>
  <c r="B89" i="19"/>
  <c r="E89" i="19" s="1"/>
  <c r="B100" i="19"/>
  <c r="N100" i="23"/>
  <c r="N97" i="23"/>
  <c r="B97" i="19"/>
  <c r="E97" i="19" s="1"/>
  <c r="N57" i="23"/>
  <c r="B57" i="19"/>
  <c r="E57" i="19" s="1"/>
  <c r="B45" i="19"/>
  <c r="E45" i="19" s="1"/>
  <c r="N45" i="23"/>
  <c r="E63" i="19"/>
  <c r="E8" i="19"/>
  <c r="E55" i="19"/>
  <c r="E24" i="19"/>
  <c r="E88" i="19"/>
  <c r="E54" i="19"/>
  <c r="E32" i="19"/>
  <c r="E96" i="19"/>
  <c r="E62" i="19"/>
  <c r="E71" i="19"/>
  <c r="E40" i="19"/>
  <c r="E6" i="19"/>
  <c r="E70" i="19"/>
  <c r="E7" i="19"/>
  <c r="E76" i="19"/>
  <c r="E79" i="19"/>
  <c r="E48" i="19"/>
  <c r="E14" i="19"/>
  <c r="E78" i="19"/>
  <c r="E87" i="19"/>
  <c r="E23" i="19"/>
  <c r="E56" i="19"/>
  <c r="E22" i="19"/>
  <c r="E86" i="19"/>
  <c r="E100" i="19"/>
  <c r="E31" i="19"/>
  <c r="E95" i="19"/>
  <c r="E64" i="19"/>
  <c r="E30" i="19"/>
  <c r="E94" i="19"/>
  <c r="E39" i="19"/>
  <c r="E72" i="19"/>
  <c r="E38" i="19"/>
  <c r="E47" i="19"/>
  <c r="E16" i="19"/>
  <c r="E80" i="19"/>
  <c r="E46" i="19"/>
  <c r="G15" i="3" l="1"/>
  <c r="G16" i="3"/>
  <c r="K9" i="19"/>
  <c r="K12" i="1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3BFD40-BA0F-9446-B0CB-9160FD4F2DF3}" keepAlive="1" name="Query - Alice_Master_Analysis" description="Connection to the 'Alice_Master_Analysis' query in the workbook." type="5" refreshedVersion="8" background="1" saveData="1">
    <dbPr connection="Provider=Microsoft.Mashup.OleDb.1;Data Source=$Workbook$;Location=Alice_Master_Analysis;Extended Properties=&quot;&quot;" command="SELECT * FROM [Alice_Master_Analysis]"/>
  </connection>
  <connection id="2" xr16:uid="{B93CB544-1DE7-B844-8A2A-570354FCB911}" keepAlive="1" name="Query - Alice_Master_Analysis_View" description="Connection to the 'Alice_Master_Analysis_View' query in the workbook." type="5" refreshedVersion="8" background="1" saveData="1">
    <dbPr connection="Provider=Microsoft.Mashup.OleDb.1;Data Source=$Workbook$;Location=Alice_Master_Analysis_View;Extended Properties=&quot;&quot;" command="SELECT * FROM [Alice_Master_Analysis_View]"/>
  </connection>
</connections>
</file>

<file path=xl/sharedStrings.xml><?xml version="1.0" encoding="utf-8"?>
<sst xmlns="http://schemas.openxmlformats.org/spreadsheetml/2006/main" count="342" uniqueCount="230">
  <si>
    <t>flight_id</t>
  </si>
  <si>
    <t>FL-00001</t>
  </si>
  <si>
    <t>v2.2</t>
  </si>
  <si>
    <t>FL-00002</t>
  </si>
  <si>
    <t>FL-00003</t>
  </si>
  <si>
    <t>v2.1</t>
  </si>
  <si>
    <t>FL-00004</t>
  </si>
  <si>
    <t>FL-00005</t>
  </si>
  <si>
    <t>FL-00006</t>
  </si>
  <si>
    <t>FL-00007</t>
  </si>
  <si>
    <t>FL-00008</t>
  </si>
  <si>
    <t>FL-00009</t>
  </si>
  <si>
    <t>FL-00010</t>
  </si>
  <si>
    <t>FL-00011</t>
  </si>
  <si>
    <t>FL-00012</t>
  </si>
  <si>
    <t>FL-00013</t>
  </si>
  <si>
    <t>FL-00014</t>
  </si>
  <si>
    <t>FL-00015</t>
  </si>
  <si>
    <t>FL-00016</t>
  </si>
  <si>
    <t>FL-00017</t>
  </si>
  <si>
    <t>FL-00018</t>
  </si>
  <si>
    <t>FL-00019</t>
  </si>
  <si>
    <t>FL-00020</t>
  </si>
  <si>
    <t>FL-00021</t>
  </si>
  <si>
    <t>FL-00022</t>
  </si>
  <si>
    <t>FL-00023</t>
  </si>
  <si>
    <t>FL-00024</t>
  </si>
  <si>
    <t>FL-00025</t>
  </si>
  <si>
    <t>FL-00026</t>
  </si>
  <si>
    <t>FL-00027</t>
  </si>
  <si>
    <t>FL-00028</t>
  </si>
  <si>
    <t>FL-00029</t>
  </si>
  <si>
    <t>FL-00030</t>
  </si>
  <si>
    <t>FL-00031</t>
  </si>
  <si>
    <t>FL-00032</t>
  </si>
  <si>
    <t>FL-00033</t>
  </si>
  <si>
    <t>FL-00034</t>
  </si>
  <si>
    <t>FL-00035</t>
  </si>
  <si>
    <t>FL-00036</t>
  </si>
  <si>
    <t>FL-00037</t>
  </si>
  <si>
    <t>FL-00038</t>
  </si>
  <si>
    <t>FL-00039</t>
  </si>
  <si>
    <t>FL-00040</t>
  </si>
  <si>
    <t>FL-00041</t>
  </si>
  <si>
    <t>FL-00042</t>
  </si>
  <si>
    <t>FL-00043</t>
  </si>
  <si>
    <t>FL-00044</t>
  </si>
  <si>
    <t>FL-00045</t>
  </si>
  <si>
    <t>FL-00046</t>
  </si>
  <si>
    <t>FL-00047</t>
  </si>
  <si>
    <t>FL-00048</t>
  </si>
  <si>
    <t>FL-00049</t>
  </si>
  <si>
    <t>FL-00050</t>
  </si>
  <si>
    <t>FL-00051</t>
  </si>
  <si>
    <t>FL-00052</t>
  </si>
  <si>
    <t>FL-00053</t>
  </si>
  <si>
    <t>FL-00054</t>
  </si>
  <si>
    <t>FL-00055</t>
  </si>
  <si>
    <t>FL-00056</t>
  </si>
  <si>
    <t>FL-00057</t>
  </si>
  <si>
    <t>FL-00058</t>
  </si>
  <si>
    <t>FL-00059</t>
  </si>
  <si>
    <t>FL-00060</t>
  </si>
  <si>
    <t>FL-00061</t>
  </si>
  <si>
    <t>FL-00062</t>
  </si>
  <si>
    <t>FL-00063</t>
  </si>
  <si>
    <t>FL-00064</t>
  </si>
  <si>
    <t>FL-00065</t>
  </si>
  <si>
    <t>FL-00066</t>
  </si>
  <si>
    <t>FL-00067</t>
  </si>
  <si>
    <t>FL-00068</t>
  </si>
  <si>
    <t>FL-00069</t>
  </si>
  <si>
    <t>FL-00070</t>
  </si>
  <si>
    <t>FL-00071</t>
  </si>
  <si>
    <t>FL-00072</t>
  </si>
  <si>
    <t>FL-00073</t>
  </si>
  <si>
    <t>FL-00074</t>
  </si>
  <si>
    <t>FL-00075</t>
  </si>
  <si>
    <t>FL-00076</t>
  </si>
  <si>
    <t>FL-00077</t>
  </si>
  <si>
    <t>FL-00078</t>
  </si>
  <si>
    <t>FL-00079</t>
  </si>
  <si>
    <t>FL-00080</t>
  </si>
  <si>
    <t>FL-00081</t>
  </si>
  <si>
    <t>FL-00082</t>
  </si>
  <si>
    <t>FL-00083</t>
  </si>
  <si>
    <t>FL-00084</t>
  </si>
  <si>
    <t>FL-00085</t>
  </si>
  <si>
    <t>FL-00086</t>
  </si>
  <si>
    <t>FL-00087</t>
  </si>
  <si>
    <t>FL-00088</t>
  </si>
  <si>
    <t>FL-00089</t>
  </si>
  <si>
    <t>FL-00090</t>
  </si>
  <si>
    <t>FL-00091</t>
  </si>
  <si>
    <t>FL-00092</t>
  </si>
  <si>
    <t>FL-00093</t>
  </si>
  <si>
    <t>FL-00094</t>
  </si>
  <si>
    <t>FL-00095</t>
  </si>
  <si>
    <t>FL-00096</t>
  </si>
  <si>
    <t>FL-00097</t>
  </si>
  <si>
    <t>FL-00098</t>
  </si>
  <si>
    <t>FL-00099</t>
  </si>
  <si>
    <t>FL-00100</t>
  </si>
  <si>
    <t>Start_SoC</t>
  </si>
  <si>
    <t>End_SoC</t>
  </si>
  <si>
    <t>Revenue</t>
  </si>
  <si>
    <t>Battery_Capacity</t>
  </si>
  <si>
    <t>kWh</t>
  </si>
  <si>
    <t>Max_Payload</t>
  </si>
  <si>
    <t>lbs</t>
  </si>
  <si>
    <t>Electricity_Rate</t>
  </si>
  <si>
    <t>$/kWh</t>
  </si>
  <si>
    <t>Battery_Replace_Cost</t>
  </si>
  <si>
    <t>$</t>
  </si>
  <si>
    <t>Base_Cycle_Life</t>
  </si>
  <si>
    <t>Cycles</t>
  </si>
  <si>
    <t>Expected number of full discharge cycles before EoL.</t>
  </si>
  <si>
    <t>Stress_Penalty_Factor</t>
  </si>
  <si>
    <t>%</t>
  </si>
  <si>
    <t>Extra wear penalty when flying at Max Payload.</t>
  </si>
  <si>
    <t>Ground_Labor_Fee</t>
  </si>
  <si>
    <t>$/Sortie</t>
  </si>
  <si>
    <t>Pilot, loading crew, and landing fees per mission.</t>
  </si>
  <si>
    <t>$/lb</t>
  </si>
  <si>
    <t>Max. useful payload</t>
  </si>
  <si>
    <t>Commercial charging rate (Standard)</t>
  </si>
  <si>
    <t>Temp</t>
  </si>
  <si>
    <t>Alice; official battery energy density.</t>
  </si>
  <si>
    <t>Est. cost for a full battery pack replacement.</t>
  </si>
  <si>
    <t>Target freight rate for regional delivery.</t>
  </si>
  <si>
    <t>Charging Loss</t>
  </si>
  <si>
    <t>500-600</t>
  </si>
  <si>
    <t>600-700</t>
  </si>
  <si>
    <t>700-800</t>
  </si>
  <si>
    <t>800-900</t>
  </si>
  <si>
    <t>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</si>
  <si>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</si>
  <si>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</si>
  <si>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</si>
  <si>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</si>
  <si>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</si>
  <si>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</si>
  <si>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</si>
  <si>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</si>
  <si>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</si>
  <si>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</si>
  <si>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</si>
  <si>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</si>
  <si>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</si>
  <si>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</si>
  <si>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2400-2500</t>
  </si>
  <si>
    <t>Ambient Temp</t>
  </si>
  <si>
    <t>°C</t>
  </si>
  <si>
    <t>Planned Duration</t>
  </si>
  <si>
    <t>Minutes</t>
  </si>
  <si>
    <t>Intercept</t>
  </si>
  <si>
    <t>Predicted Burn Rate</t>
  </si>
  <si>
    <t>% SoC / min</t>
  </si>
  <si>
    <t>Projected Landing SoC</t>
  </si>
  <si>
    <t>Safety Status</t>
  </si>
  <si>
    <t>Estimated OpEx</t>
  </si>
  <si>
    <t>Net Profit</t>
  </si>
  <si>
    <t>EBITDA Margin</t>
  </si>
  <si>
    <t>Agreed Rate</t>
  </si>
  <si>
    <t>Unit Economics</t>
  </si>
  <si>
    <t>Decision Output</t>
  </si>
  <si>
    <t xml:space="preserve">ML Logic </t>
  </si>
  <si>
    <t>Energy Cost</t>
  </si>
  <si>
    <t xml:space="preserve">Depreciation </t>
  </si>
  <si>
    <t>Target (20%)</t>
  </si>
  <si>
    <t>Avg. EBITDA Margin %</t>
  </si>
  <si>
    <t>% of Profitable Sorties</t>
  </si>
  <si>
    <t>Total Energy Consumed</t>
  </si>
  <si>
    <t>Total Sortie</t>
  </si>
  <si>
    <t>Total Sorties Net Profit</t>
  </si>
  <si>
    <t>Yield_Rate</t>
  </si>
  <si>
    <t>Mission ROI Calculator</t>
  </si>
  <si>
    <t>Energy_kWh</t>
  </si>
  <si>
    <t>Flight Decision</t>
  </si>
  <si>
    <t>Opt.Profit</t>
  </si>
  <si>
    <t>Opt.Energy</t>
  </si>
  <si>
    <t>Total Optimized Profit</t>
  </si>
  <si>
    <t>Total Energy Consumption</t>
  </si>
  <si>
    <t>Total Fleets</t>
  </si>
  <si>
    <t>STRATEGIC FLEET OPTIMIZATION</t>
  </si>
  <si>
    <t>Objective: Maximize Fleet EBITDA by prioritizing missions with the highest Profit-per-kWh efficiency.</t>
  </si>
  <si>
    <t>Utilization</t>
  </si>
  <si>
    <t>Profit per kWh</t>
  </si>
  <si>
    <t>Project Overview</t>
  </si>
  <si>
    <t>Assumptions - Inputs (LIVE)</t>
  </si>
  <si>
    <t>Payload</t>
  </si>
  <si>
    <t>In the previous project, the initial Python Stress Test proved that a 75-minute mission profile leads to a 100% safety breach. This Excel model investigates the Commercial Viability of the 60-minute "Safe Zone" to determine if Eviation Alice can remain profitable and HOW while staying 100% FAA-compliant.</t>
  </si>
  <si>
    <t>Insights</t>
  </si>
  <si>
    <t>Performance - Outputs (LIVE)</t>
  </si>
  <si>
    <t>Energy ROI</t>
  </si>
  <si>
    <t>Tools</t>
  </si>
  <si>
    <r>
      <t>1. Mission_Unit_ROI_calculator:</t>
    </r>
    <r>
      <rPr>
        <sz val="12"/>
        <color theme="1"/>
        <rFont val="Aptos Narrow"/>
        <scheme val="minor"/>
      </rPr>
      <t xml:space="preserve"> An interactive interface that integrates ML coefficients to predicts safety clearance and recommended pricing based on payload and temperature.</t>
    </r>
  </si>
  <si>
    <r>
      <t xml:space="preserve">2.Fleet_Optimization_Solver: </t>
    </r>
    <r>
      <rPr>
        <sz val="12"/>
        <color theme="1"/>
        <rFont val="Aptos Narrow"/>
        <scheme val="minor"/>
      </rPr>
      <t>utilizes Linear Programming to select the most profitable mix of missions when total hub energy capacity is restricted (e.g., a 2,500 kWh daily cap)</t>
    </r>
  </si>
  <si>
    <t>Per_Sortie_Gain</t>
  </si>
  <si>
    <t>Profit_Boost_%</t>
  </si>
  <si>
    <t>Annual Impact</t>
  </si>
  <si>
    <t>Safe_Duration_Min</t>
  </si>
  <si>
    <t>Firmware</t>
  </si>
  <si>
    <t>Net_kWh_used</t>
  </si>
  <si>
    <t>Sortie Revenue</t>
  </si>
  <si>
    <t>Battery Depreciation</t>
  </si>
  <si>
    <t>Total OpEx per Sortie</t>
  </si>
  <si>
    <t>EBIDTA(%)</t>
  </si>
  <si>
    <t>Row Labels</t>
  </si>
  <si>
    <t>Grand Total</t>
  </si>
  <si>
    <t>Average of EBIDTA(%)</t>
  </si>
  <si>
    <t>Average of Net Profit</t>
  </si>
  <si>
    <t>Average of Net_kWh_used</t>
  </si>
  <si>
    <t>Average of Sortie Revenue</t>
  </si>
  <si>
    <r>
      <rPr>
        <sz val="12"/>
        <color theme="1"/>
        <rFont val="Aptos Narrow"/>
        <scheme val="minor"/>
      </rPr>
      <t xml:space="preserve">1.Comprehensive ROI modeling confirms the </t>
    </r>
    <r>
      <rPr>
        <b/>
        <sz val="12"/>
        <color theme="1"/>
        <rFont val="Aptos Narrow"/>
        <scheme val="minor"/>
      </rPr>
      <t>operational breakeven point is at 700-800 lbs payload</t>
    </r>
    <r>
      <rPr>
        <sz val="12"/>
        <color theme="1"/>
        <rFont val="Aptos Narrow"/>
        <scheme val="minor"/>
      </rPr>
      <t>. This expands the serviceable market by ~30% for low-density regional freight.</t>
    </r>
  </si>
  <si>
    <r>
      <t xml:space="preserve">2. </t>
    </r>
    <r>
      <rPr>
        <sz val="12"/>
        <color theme="1"/>
        <rFont val="Aptos Narrow"/>
        <scheme val="minor"/>
      </rPr>
      <t xml:space="preserve"> Missions with payloads </t>
    </r>
    <r>
      <rPr>
        <b/>
        <sz val="12"/>
        <color theme="1"/>
        <rFont val="Aptos Narrow"/>
        <scheme val="minor"/>
      </rPr>
      <t>under 700 lbs result in a negative EBITDA</t>
    </r>
    <r>
      <rPr>
        <sz val="12"/>
        <color theme="1"/>
        <rFont val="Aptos Narrow"/>
        <scheme val="minor"/>
      </rPr>
      <t xml:space="preserve"> (down to -20%), identifying a critical "No-Go" zone for automated dispatching filters.</t>
    </r>
  </si>
  <si>
    <r>
      <rPr>
        <sz val="12"/>
        <color theme="1"/>
        <rFont val="Aptos Narrow"/>
        <scheme val="minor"/>
      </rPr>
      <t>4.A/B testing confirms that Firmware</t>
    </r>
    <r>
      <rPr>
        <b/>
        <sz val="12"/>
        <color theme="1"/>
        <rFont val="Aptos Narrow"/>
        <scheme val="minor"/>
      </rPr>
      <t xml:space="preserve"> v2.2  delivers a 2% lift in EBITDA margin</t>
    </r>
    <r>
      <rPr>
        <sz val="12"/>
        <color theme="1"/>
        <rFont val="Aptos Narrow"/>
        <scheme val="minor"/>
      </rPr>
      <t xml:space="preserve"> (44% vs 42%). Implementing v2.2 fleet-wide is projected to generate</t>
    </r>
    <r>
      <rPr>
        <b/>
        <sz val="12"/>
        <color theme="1"/>
        <rFont val="Aptos Narrow"/>
        <scheme val="minor"/>
      </rPr>
      <t xml:space="preserve"> an annual profit lift of $1.01M.</t>
    </r>
  </si>
  <si>
    <r>
      <t>3</t>
    </r>
    <r>
      <rPr>
        <b/>
        <sz val="12"/>
        <color theme="1"/>
        <rFont val="Aptos Narrow"/>
        <scheme val="minor"/>
      </rPr>
      <t>.High-payload missions (2400-2500 lbs) a</t>
    </r>
    <r>
      <rPr>
        <sz val="12"/>
        <color theme="1"/>
        <rFont val="Aptos Narrow"/>
        <scheme val="minor"/>
      </rPr>
      <t xml:space="preserve">chieve peak performance with a </t>
    </r>
    <r>
      <rPr>
        <b/>
        <sz val="12"/>
        <color theme="1"/>
        <rFont val="Aptos Narrow"/>
        <scheme val="minor"/>
      </rPr>
      <t>73% EBITDA</t>
    </r>
    <r>
      <rPr>
        <sz val="12"/>
        <color theme="1"/>
        <rFont val="Aptos Narrow"/>
        <scheme val="minor"/>
      </rPr>
      <t xml:space="preserve">. Profitability is exponentially geared toward cargo density rather than flight frequency. </t>
    </r>
  </si>
  <si>
    <t>End SoC</t>
  </si>
  <si>
    <t>&gt;=20%</t>
  </si>
  <si>
    <t>Net_Profit</t>
  </si>
  <si>
    <t>Assuming Energy Cap: 8,000 kWh (Simulated Grid Capacity Limit)</t>
  </si>
  <si>
    <t>Scenario: Operational Decision under 8000 kWh Energy Constraints</t>
  </si>
  <si>
    <t>Sortie (Input)</t>
  </si>
  <si>
    <t>Payload²</t>
  </si>
  <si>
    <t>Payload x1</t>
  </si>
  <si>
    <t>Temp x1</t>
  </si>
  <si>
    <t>Payload * Temp</t>
  </si>
  <si>
    <t>Temp²</t>
  </si>
  <si>
    <t>% 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</si>
</sst>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  <numFmt numFmtId="176" formatCode="0.0000"/>
    <numFmt numFmtId="183" formatCode="0.0000000000"/>
  </numFmts>
  <fonts count="4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rgb="FF2B2D31"/>
      <name val="Arial"/>
      <family val="2"/>
    </font>
    <font>
      <sz val="14"/>
      <color rgb="FF2B2D31"/>
      <name val="Arial"/>
      <family val="2"/>
    </font>
    <font>
      <sz val="12"/>
      <color theme="1"/>
      <name val="Arial"/>
      <family val="2"/>
    </font>
    <font>
      <sz val="12"/>
      <color rgb="FF2B2D31"/>
      <name val="Arial"/>
      <family val="2"/>
    </font>
    <font>
      <sz val="11"/>
      <color rgb="FF2B2D31"/>
      <name val="Arial"/>
      <family val="2"/>
    </font>
    <font>
      <sz val="14"/>
      <color theme="1"/>
      <name val="Aptos Narrow"/>
      <family val="2"/>
      <scheme val="minor"/>
    </font>
    <font>
      <sz val="16"/>
      <color rgb="FF2B2D31"/>
      <name val="Arial"/>
      <family val="2"/>
    </font>
    <font>
      <sz val="16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3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2B2D3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A7D00"/>
      <name val="Aptos Narrow"/>
      <scheme val="minor"/>
    </font>
    <font>
      <sz val="12"/>
      <color rgb="FF3F3F3F"/>
      <name val="Aptos Narrow"/>
      <scheme val="minor"/>
    </font>
    <font>
      <i/>
      <sz val="12"/>
      <color theme="1" tint="0.34998626667073579"/>
      <name val="Aptos Narrow"/>
      <family val="2"/>
      <scheme val="minor"/>
    </font>
    <font>
      <b/>
      <i/>
      <sz val="12"/>
      <color rgb="FF7F7F7F"/>
      <name val="Aptos Narrow"/>
      <scheme val="minor"/>
    </font>
    <font>
      <i/>
      <sz val="12"/>
      <color theme="1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sz val="16"/>
      <color rgb="FFFA7D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0">
    <xf numFmtId="0" fontId="0" fillId="0" borderId="0" xfId="0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pivotButton="1"/>
    <xf numFmtId="44" fontId="0" fillId="0" borderId="0" xfId="1" applyFont="1"/>
    <xf numFmtId="0" fontId="24" fillId="0" borderId="0" xfId="0" applyFont="1"/>
    <xf numFmtId="0" fontId="25" fillId="0" borderId="0" xfId="0" applyFont="1"/>
    <xf numFmtId="0" fontId="9" fillId="5" borderId="4" xfId="11" applyAlignment="1">
      <alignment horizontal="right"/>
    </xf>
    <xf numFmtId="0" fontId="9" fillId="5" borderId="4" xfId="11"/>
    <xf numFmtId="0" fontId="0" fillId="8" borderId="8" xfId="17" applyFont="1"/>
    <xf numFmtId="0" fontId="0" fillId="8" borderId="8" xfId="17" applyFont="1" applyAlignment="1">
      <alignment horizontal="right"/>
    </xf>
    <xf numFmtId="9" fontId="0" fillId="8" borderId="8" xfId="2" applyFont="1" applyFill="1" applyBorder="1" applyAlignment="1">
      <alignment horizontal="right"/>
    </xf>
    <xf numFmtId="0" fontId="10" fillId="6" borderId="5" xfId="12"/>
    <xf numFmtId="9" fontId="10" fillId="6" borderId="5" xfId="12" applyNumberFormat="1" applyAlignment="1">
      <alignment horizontal="right"/>
    </xf>
    <xf numFmtId="0" fontId="10" fillId="6" borderId="5" xfId="12" applyAlignment="1">
      <alignment horizontal="right"/>
    </xf>
    <xf numFmtId="9" fontId="0" fillId="0" borderId="0" xfId="0" applyNumberFormat="1"/>
    <xf numFmtId="0" fontId="19" fillId="0" borderId="0" xfId="0" applyFont="1" applyAlignment="1">
      <alignment horizontal="right"/>
    </xf>
    <xf numFmtId="164" fontId="18" fillId="0" borderId="0" xfId="1" applyNumberFormat="1" applyFont="1" applyAlignment="1">
      <alignment horizontal="right"/>
    </xf>
    <xf numFmtId="164" fontId="23" fillId="0" borderId="0" xfId="1" applyNumberFormat="1" applyFont="1" applyAlignment="1">
      <alignment horizontal="right"/>
    </xf>
    <xf numFmtId="9" fontId="18" fillId="0" borderId="0" xfId="2" applyFont="1" applyAlignment="1">
      <alignment horizontal="right"/>
    </xf>
    <xf numFmtId="0" fontId="0" fillId="0" borderId="0" xfId="0" applyAlignment="1">
      <alignment wrapText="1"/>
    </xf>
    <xf numFmtId="2" fontId="0" fillId="0" borderId="0" xfId="0" applyNumberFormat="1"/>
    <xf numFmtId="44" fontId="0" fillId="0" borderId="0" xfId="0" applyNumberFormat="1"/>
    <xf numFmtId="0" fontId="29" fillId="5" borderId="4" xfId="11" applyFont="1"/>
    <xf numFmtId="0" fontId="0" fillId="0" borderId="11" xfId="0" applyBorder="1"/>
    <xf numFmtId="0" fontId="28" fillId="0" borderId="15" xfId="18" applyFont="1" applyBorder="1"/>
    <xf numFmtId="0" fontId="0" fillId="0" borderId="16" xfId="0" applyBorder="1"/>
    <xf numFmtId="0" fontId="0" fillId="0" borderId="15" xfId="0" applyBorder="1"/>
    <xf numFmtId="0" fontId="29" fillId="5" borderId="17" xfId="11" applyFont="1" applyBorder="1"/>
    <xf numFmtId="0" fontId="25" fillId="0" borderId="15" xfId="0" applyFont="1" applyBorder="1"/>
    <xf numFmtId="0" fontId="32" fillId="0" borderId="15" xfId="0" applyFont="1" applyBorder="1"/>
    <xf numFmtId="0" fontId="32" fillId="0" borderId="0" xfId="0" applyFont="1"/>
    <xf numFmtId="1" fontId="29" fillId="5" borderId="20" xfId="11" applyNumberFormat="1" applyFont="1" applyBorder="1"/>
    <xf numFmtId="0" fontId="31" fillId="0" borderId="15" xfId="0" applyFont="1" applyBorder="1"/>
    <xf numFmtId="165" fontId="30" fillId="0" borderId="16" xfId="1" applyNumberFormat="1" applyFont="1" applyBorder="1"/>
    <xf numFmtId="9" fontId="32" fillId="0" borderId="16" xfId="2" applyFont="1" applyBorder="1"/>
    <xf numFmtId="10" fontId="32" fillId="0" borderId="16" xfId="2" applyNumberFormat="1" applyFont="1" applyBorder="1"/>
    <xf numFmtId="0" fontId="18" fillId="0" borderId="18" xfId="0" applyFont="1" applyBorder="1"/>
    <xf numFmtId="44" fontId="30" fillId="0" borderId="19" xfId="1" applyFont="1" applyBorder="1"/>
    <xf numFmtId="0" fontId="22" fillId="0" borderId="10" xfId="0" applyFont="1" applyBorder="1"/>
    <xf numFmtId="0" fontId="14" fillId="8" borderId="8" xfId="17" applyFont="1"/>
    <xf numFmtId="0" fontId="14" fillId="8" borderId="8" xfId="17" applyFont="1" applyAlignment="1">
      <alignment horizontal="right"/>
    </xf>
    <xf numFmtId="0" fontId="35" fillId="6" borderId="5" xfId="12" applyFont="1"/>
    <xf numFmtId="9" fontId="10" fillId="6" borderId="5" xfId="2" applyFont="1" applyFill="1" applyBorder="1" applyAlignment="1">
      <alignment horizontal="right"/>
    </xf>
    <xf numFmtId="44" fontId="9" fillId="5" borderId="4" xfId="1" applyFont="1" applyFill="1" applyBorder="1" applyAlignment="1">
      <alignment horizontal="right"/>
    </xf>
    <xf numFmtId="165" fontId="9" fillId="5" borderId="4" xfId="1" applyNumberFormat="1" applyFont="1" applyFill="1" applyBorder="1" applyAlignment="1">
      <alignment horizontal="right"/>
    </xf>
    <xf numFmtId="44" fontId="9" fillId="5" borderId="4" xfId="1" applyFont="1" applyFill="1" applyBorder="1"/>
    <xf numFmtId="0" fontId="27" fillId="0" borderId="12" xfId="4" applyFont="1" applyBorder="1" applyAlignment="1">
      <alignment horizontal="left"/>
    </xf>
    <xf numFmtId="0" fontId="24" fillId="0" borderId="15" xfId="0" applyFont="1" applyBorder="1"/>
    <xf numFmtId="0" fontId="25" fillId="0" borderId="18" xfId="0" applyFont="1" applyBorder="1"/>
    <xf numFmtId="0" fontId="24" fillId="0" borderId="16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16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10" fillId="6" borderId="5" xfId="12" applyAlignment="1">
      <alignment horizontal="left"/>
    </xf>
    <xf numFmtId="165" fontId="10" fillId="6" borderId="5" xfId="12" applyNumberFormat="1"/>
    <xf numFmtId="0" fontId="26" fillId="0" borderId="0" xfId="0" applyFont="1" applyAlignment="1">
      <alignment horizontal="left" vertical="top" wrapText="1"/>
    </xf>
    <xf numFmtId="0" fontId="34" fillId="0" borderId="6" xfId="14" applyFont="1"/>
    <xf numFmtId="0" fontId="33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2" xfId="5" applyAlignment="1">
      <alignment horizontal="left"/>
    </xf>
    <xf numFmtId="0" fontId="3" fillId="0" borderId="1" xfId="4" applyAlignment="1">
      <alignment horizontal="left"/>
    </xf>
    <xf numFmtId="0" fontId="36" fillId="0" borderId="0" xfId="18" applyFont="1" applyFill="1" applyAlignment="1">
      <alignment horizontal="left" vertical="top" wrapText="1"/>
    </xf>
    <xf numFmtId="0" fontId="27" fillId="0" borderId="12" xfId="4" applyFont="1" applyBorder="1"/>
    <xf numFmtId="0" fontId="27" fillId="0" borderId="13" xfId="4" applyFont="1" applyBorder="1"/>
    <xf numFmtId="0" fontId="27" fillId="0" borderId="14" xfId="4" applyFont="1" applyBorder="1"/>
    <xf numFmtId="0" fontId="0" fillId="0" borderId="0" xfId="0" applyNumberFormat="1"/>
    <xf numFmtId="9" fontId="0" fillId="0" borderId="0" xfId="2" applyFont="1"/>
    <xf numFmtId="0" fontId="33" fillId="0" borderId="0" xfId="0" applyFont="1" applyAlignment="1">
      <alignment wrapText="1"/>
    </xf>
    <xf numFmtId="0" fontId="37" fillId="8" borderId="8" xfId="17" applyFont="1" applyAlignment="1">
      <alignment horizontal="left" wrapText="1"/>
    </xf>
    <xf numFmtId="0" fontId="38" fillId="0" borderId="15" xfId="18" applyFont="1" applyBorder="1" applyAlignment="1">
      <alignment wrapText="1"/>
    </xf>
    <xf numFmtId="0" fontId="38" fillId="0" borderId="0" xfId="18" applyFont="1" applyBorder="1" applyAlignment="1">
      <alignment wrapText="1"/>
    </xf>
    <xf numFmtId="0" fontId="38" fillId="0" borderId="16" xfId="18" applyFont="1" applyBorder="1" applyAlignment="1">
      <alignment wrapText="1"/>
    </xf>
    <xf numFmtId="44" fontId="10" fillId="6" borderId="5" xfId="1" applyFont="1" applyFill="1" applyBorder="1"/>
    <xf numFmtId="44" fontId="10" fillId="6" borderId="5" xfId="1" applyFont="1" applyFill="1" applyBorder="1" applyAlignment="1">
      <alignment horizontal="right"/>
    </xf>
    <xf numFmtId="0" fontId="19" fillId="0" borderId="15" xfId="0" applyFont="1" applyBorder="1"/>
    <xf numFmtId="0" fontId="19" fillId="0" borderId="16" xfId="0" applyFont="1" applyBorder="1" applyAlignment="1">
      <alignment horizontal="left"/>
    </xf>
    <xf numFmtId="0" fontId="27" fillId="0" borderId="22" xfId="4" applyFont="1" applyBorder="1" applyAlignment="1">
      <alignment horizontal="left"/>
    </xf>
    <xf numFmtId="0" fontId="27" fillId="0" borderId="23" xfId="4" applyFont="1" applyBorder="1" applyAlignment="1">
      <alignment horizontal="left"/>
    </xf>
    <xf numFmtId="0" fontId="18" fillId="0" borderId="21" xfId="0" applyFont="1" applyBorder="1"/>
    <xf numFmtId="0" fontId="29" fillId="5" borderId="21" xfId="11" applyFont="1" applyBorder="1"/>
    <xf numFmtId="0" fontId="29" fillId="5" borderId="21" xfId="11" applyFont="1" applyBorder="1" applyAlignment="1">
      <alignment horizontal="right"/>
    </xf>
    <xf numFmtId="0" fontId="19" fillId="0" borderId="21" xfId="0" applyFont="1" applyBorder="1" applyAlignment="1">
      <alignment horizontal="left"/>
    </xf>
    <xf numFmtId="0" fontId="40" fillId="6" borderId="21" xfId="13" applyFont="1" applyBorder="1"/>
    <xf numFmtId="183" fontId="40" fillId="6" borderId="21" xfId="13" applyNumberFormat="1" applyFont="1" applyBorder="1" applyAlignment="1">
      <alignment horizontal="right"/>
    </xf>
    <xf numFmtId="0" fontId="24" fillId="0" borderId="21" xfId="0" applyFont="1" applyBorder="1" applyAlignment="1">
      <alignment horizontal="right"/>
    </xf>
    <xf numFmtId="176" fontId="40" fillId="6" borderId="21" xfId="13" applyNumberFormat="1" applyFont="1" applyBorder="1" applyAlignment="1">
      <alignment horizontal="right"/>
    </xf>
    <xf numFmtId="0" fontId="39" fillId="6" borderId="21" xfId="12" applyFont="1" applyBorder="1"/>
    <xf numFmtId="2" fontId="39" fillId="6" borderId="21" xfId="12" applyNumberFormat="1" applyFont="1" applyBorder="1" applyAlignment="1">
      <alignment horizontal="right"/>
    </xf>
    <xf numFmtId="0" fontId="39" fillId="6" borderId="21" xfId="12" applyFont="1" applyBorder="1" applyAlignment="1">
      <alignment horizontal="right"/>
    </xf>
    <xf numFmtId="0" fontId="40" fillId="6" borderId="24" xfId="13" applyFont="1" applyBorder="1"/>
    <xf numFmtId="0" fontId="29" fillId="5" borderId="24" xfId="11" applyFont="1" applyBorder="1"/>
    <xf numFmtId="0" fontId="39" fillId="6" borderId="24" xfId="12" applyFont="1" applyBorder="1"/>
    <xf numFmtId="164" fontId="39" fillId="6" borderId="21" xfId="12" applyNumberFormat="1" applyFont="1" applyBorder="1" applyAlignment="1">
      <alignment horizontal="right"/>
    </xf>
    <xf numFmtId="0" fontId="18" fillId="0" borderId="25" xfId="0" applyFont="1" applyBorder="1"/>
    <xf numFmtId="0" fontId="25" fillId="0" borderId="21" xfId="0" applyFont="1" applyBorder="1" applyAlignment="1">
      <alignment horizontal="right"/>
    </xf>
    <xf numFmtId="9" fontId="39" fillId="6" borderId="21" xfId="12" applyNumberFormat="1" applyFont="1" applyBorder="1" applyAlignment="1">
      <alignment horizontal="right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8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nxuan Gan" refreshedDate="46123.636937962961" createdVersion="8" refreshedVersion="8" minRefreshableVersion="3" recordCount="100" xr:uid="{800F429A-27EC-CD44-8552-C1B3819667A3}">
  <cacheSource type="worksheet">
    <worksheetSource name="Alice_Master_Analysis"/>
  </cacheSource>
  <cacheFields count="14">
    <cacheField name="flight_id" numFmtId="0">
      <sharedItems/>
    </cacheField>
    <cacheField name="Safe_Duration_Min" numFmtId="0">
      <sharedItems containsSemiMixedTypes="0" containsString="0" containsNumber="1" containsInteger="1" minValue="51" maxValue="68"/>
    </cacheField>
    <cacheField name="Start_SoC" numFmtId="0">
      <sharedItems containsSemiMixedTypes="0" containsString="0" containsNumber="1" minValue="99.021833333333333" maxValue="99.192833333333326"/>
    </cacheField>
    <cacheField name="End_SoC" numFmtId="0">
      <sharedItems containsSemiMixedTypes="0" containsString="0" containsNumber="1" minValue="20.021666666666665" maxValue="21.380999999999997"/>
    </cacheField>
    <cacheField name="Payload" numFmtId="0">
      <sharedItems containsSemiMixedTypes="0" containsString="0" containsNumber="1" minValue="511.04423424720483" maxValue="2473.7738732010348" count="100">
        <n v="1249.0802376947249"/>
        <n v="2401.4286128198323"/>
        <n v="1963.9878836228104"/>
        <n v="1697.3169683940732"/>
        <n v="812.03728088487298"/>
        <n v="811.98904067240528"/>
        <n v="616.16722433639893"/>
        <n v="2232.3522915498702"/>
        <n v="1702.2300234864176"/>
        <n v="1916.145155592091"/>
        <n v="541.16898859160494"/>
        <n v="2439.8197043239888"/>
        <n v="2164.885281600843"/>
        <n v="924.6782213565524"/>
        <n v="863.6499344142012"/>
        <n v="866.80901970686762"/>
        <n v="1108.4844859190755"/>
        <n v="1549.5128632644758"/>
        <n v="1363.8900372842315"/>
        <n v="1082.4582803960841"/>
        <n v="1723.7057894447589"/>
        <n v="778.98772130408372"/>
        <n v="1084.2892970704363"/>
        <n v="1232.7236865873831"/>
        <n v="1412.1399684340718"/>
        <n v="2070.351922786027"/>
        <n v="899.34756431671951"/>
        <n v="1528.4688768272233"/>
        <n v="1684.8291377240848"/>
        <n v="592.9008254399954"/>
        <n v="1715.0897038028768"/>
        <n v="841.04824737458307"/>
        <n v="630.10318597055903"/>
        <n v="2397.7710745066665"/>
        <n v="2431.2640661491187"/>
        <n v="2116.7946962329224"/>
        <n v="1109.2275383467413"/>
        <n v="695.34422801276776"/>
        <n v="1868.4660530243141"/>
        <n v="1380.3049874792025"/>
        <n v="744.0764696895576"/>
        <n v="1490.3538202225404"/>
        <n v="568.77704223043679"/>
        <n v="2318.6408041575642"/>
        <n v="1017.5599632000338"/>
        <n v="1825.0445687079639"/>
        <n v="1123.422152178822"/>
        <n v="1540.1360423556216"/>
        <n v="1593.4205586865594"/>
        <n v="869.70891105105409"/>
        <n v="2439.169255529117"/>
        <n v="2050.2656467222291"/>
        <n v="2378.9978831283784"/>
        <n v="2289.6547008552975"/>
        <n v="1695.7999576221705"/>
        <n v="2343.7484700462337"/>
        <n v="676.98500410383895"/>
        <n v="891.96572483829038"/>
        <n v="590.4545778210761"/>
        <n v="1150.6606615265289"/>
        <n v="1277.354579378964"/>
        <n v="1042.6980635477919"/>
        <n v="2157.4750183038582"/>
        <n v="1213.5066533871786"/>
        <n v="1061.8690193747616"/>
        <n v="1585.392166316497"/>
        <n v="781.84844994952527"/>
        <n v="2104.393961508079"/>
        <n v="649.10128735954163"/>
        <n v="2473.7738732010348"/>
        <n v="2044.4895385933148"/>
        <n v="897.43136306834481"/>
        <n v="511.04423424720483"/>
        <n v="2130.9228569096681"/>
        <n v="1913.7146876952345"/>
        <n v="1958.0143360819743"/>
        <n v="2042.5406933718912"/>
        <n v="648.08930346818067"/>
        <n v="1216.9314570885451"/>
        <n v="731.73811905025946"/>
        <n v="2226.2068517511871"/>
        <n v="1746.5962536551158"/>
        <n v="1161.7960497052984"/>
        <n v="627.11670057204731"/>
        <n v="1121.9646434313245"/>
        <n v="1150.3666440534942"/>
        <n v="1959.2123566761279"/>
        <n v="1775.1149427104262"/>
        <n v="2274.425485152653"/>
        <n v="1444.4298503238986"/>
        <n v="739.18849187660339"/>
        <n v="1926.48957444599"/>
        <n v="2021.570097233795"/>
        <n v="1622.5543951389925"/>
        <n v="2041.9343599091219"/>
        <n v="1487.5911927287814"/>
        <n v="1545.4656587639879"/>
        <n v="1355.0820367170993"/>
        <n v="550.83825348819039"/>
        <n v="715.78285398660887"/>
      </sharedItems>
      <fieldGroup base="4">
        <rangePr autoStart="0" autoEnd="0" startNum="500" endNum="2500" groupInterval="100"/>
        <groupItems count="22">
          <s v="&lt;500"/>
          <s v="500-600"/>
          <s v="600-700"/>
          <s v="700-800"/>
          <s v="800-900"/>
          <s v="900-1000"/>
          <s v="1000-1100"/>
          <s v="1100-1200"/>
          <s v="1200-1300"/>
          <s v="1300-1400"/>
          <s v="1400-1500"/>
          <s v="1500-1600"/>
          <s v="1600-1700"/>
          <s v="1700-1800"/>
          <s v="1800-1900"/>
          <s v="1900-2000"/>
          <s v="2000-2100"/>
          <s v="2100-2200"/>
          <s v="2200-2300"/>
          <s v="2300-2400"/>
          <s v="2400-2500"/>
          <s v="&gt;2500"/>
        </groupItems>
      </fieldGroup>
    </cacheField>
    <cacheField name="Firmware" numFmtId="0">
      <sharedItems count="2">
        <s v="v2.1"/>
        <s v="v2.2"/>
      </sharedItems>
    </cacheField>
    <cacheField name="Temp" numFmtId="0">
      <sharedItems containsSemiMixedTypes="0" containsString="0" containsNumber="1" minValue="-4.6523934734404646" maxValue="44.282522705530035"/>
    </cacheField>
    <cacheField name="Net_kWh_used" numFmtId="0">
      <sharedItems containsSemiMixedTypes="0" containsString="0" containsNumber="1" minValue="660.11424999999997" maxValue="672.51433333333341"/>
    </cacheField>
    <cacheField name="Sortie Revenue" numFmtId="44">
      <sharedItems containsSemiMixedTypes="0" containsString="0" containsNumber="1" minValue="1149.8495270562109" maxValue="5565.9912147023279"/>
    </cacheField>
    <cacheField name="Energy Cost" numFmtId="44">
      <sharedItems containsSemiMixedTypes="0" containsString="0" containsNumber="1" minValue="118.82056499999999" maxValue="121.05258000000001"/>
    </cacheField>
    <cacheField name="Battery Depreciation" numFmtId="44">
      <sharedItems containsSemiMixedTypes="0" containsString="0" containsNumber="1" minValue="181.20783333333333" maxValue="184.6117777777778"/>
    </cacheField>
    <cacheField name="Total OpEx per Sortie" numFmtId="44">
      <sharedItems containsSemiMixedTypes="0" containsString="0" containsNumber="1" minValue="1500.0283983333334" maxValue="1505.6643577777777"/>
    </cacheField>
    <cacheField name="Net Profit" numFmtId="44">
      <sharedItems containsSemiMixedTypes="0" containsString="0" containsNumber="1" minValue="-354.06731627712247" maxValue="4061.5090369245499"/>
    </cacheField>
    <cacheField name="EBIDTA(%)" numFmtId="9">
      <sharedItems containsSemiMixedTypes="0" containsString="0" containsNumber="1" minValue="-0.30792491360464225" maxValue="0.72970094278917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FL-00001"/>
    <n v="55"/>
    <n v="99.0745"/>
    <n v="20.512333333333334"/>
    <x v="0"/>
    <x v="0"/>
    <n v="-3.4285407156632877"/>
    <n v="667.77841666666666"/>
    <n v="2810.4305348131311"/>
    <n v="120.200115"/>
    <n v="183.31172222222222"/>
    <n v="1503.5118372222223"/>
    <n v="1306.9186975909088"/>
    <n v="0.46502437309940747"/>
  </r>
  <r>
    <s v="FL-00002"/>
    <n v="56"/>
    <n v="99.085000000000008"/>
    <n v="20.298833333333334"/>
    <x v="1"/>
    <x v="1"/>
    <n v="26.820520563189021"/>
    <n v="669.68241666666677"/>
    <n v="5403.2143788446228"/>
    <n v="120.54283500000001"/>
    <n v="183.83438888888892"/>
    <n v="1504.3772238888889"/>
    <n v="3898.8371549557341"/>
    <n v="0.72157735777076981"/>
  </r>
  <r>
    <s v="FL-00003"/>
    <n v="55"/>
    <n v="99.074333333333328"/>
    <n v="20.463833333333334"/>
    <x v="2"/>
    <x v="0"/>
    <n v="10.717799053816334"/>
    <n v="668.18925000000002"/>
    <n v="4418.972738151323"/>
    <n v="120.27406499999999"/>
    <n v="183.42450000000002"/>
    <n v="1503.6985650000001"/>
    <n v="2915.2741731513229"/>
    <n v="0.65971761898013603"/>
  </r>
  <r>
    <s v="FL-00004"/>
    <n v="59"/>
    <n v="99.11999999999999"/>
    <n v="20.139333333333333"/>
    <x v="3"/>
    <x v="0"/>
    <n v="20.428534558235139"/>
    <n v="671.3356666666665"/>
    <n v="3818.9631788866645"/>
    <n v="120.84041999999997"/>
    <n v="184.28822222222217"/>
    <n v="1505.1286422222222"/>
    <n v="2313.8345366644426"/>
    <n v="0.60588029480268268"/>
  </r>
  <r>
    <s v="FL-00005"/>
    <n v="61"/>
    <n v="99.141000000000005"/>
    <n v="20.021666666666665"/>
    <x v="4"/>
    <x v="1"/>
    <n v="40.378323696304648"/>
    <n v="672.51433333333341"/>
    <n v="1827.0838819909643"/>
    <n v="121.05258000000001"/>
    <n v="184.6117777777778"/>
    <n v="1505.6643577777777"/>
    <n v="321.41952421318661"/>
    <n v="0.17591941310485282"/>
  </r>
  <r>
    <s v="FL-00006"/>
    <n v="60"/>
    <n v="99.134333333333345"/>
    <n v="20.521666666666665"/>
    <x v="5"/>
    <x v="0"/>
    <n v="7.4646114574437474"/>
    <n v="668.2076666666668"/>
    <n v="1826.9753415129119"/>
    <n v="120.27738000000002"/>
    <n v="183.42955555555559"/>
    <n v="1503.7069355555557"/>
    <n v="323.26840595735621"/>
    <n v="0.17694185499496604"/>
  </r>
  <r>
    <s v="FL-00007"/>
    <n v="64"/>
    <n v="99.171166666666679"/>
    <n v="20.089333333333332"/>
    <x v="6"/>
    <x v="0"/>
    <n v="15.519146151781486"/>
    <n v="672.1955833333335"/>
    <n v="1386.3762547568977"/>
    <n v="120.99520500000003"/>
    <n v="184.52427777777783"/>
    <n v="1505.5194827777777"/>
    <n v="-119.14322802088009"/>
    <n v="-8.5938595393623474E-2"/>
  </r>
  <r>
    <s v="FL-00008"/>
    <n v="55"/>
    <n v="99.078333333333333"/>
    <n v="20.835666666666668"/>
    <x v="7"/>
    <x v="1"/>
    <n v="32.777556927152432"/>
    <n v="665.0626666666667"/>
    <n v="5022.7926559872076"/>
    <n v="119.71128"/>
    <n v="182.56622222222225"/>
    <n v="1502.2775022222222"/>
    <n v="3520.5151537649854"/>
    <n v="0.700907920132539"/>
  </r>
  <r>
    <s v="FL-00009"/>
    <n v="55"/>
    <n v="99.077666666666659"/>
    <n v="20.776666666666664"/>
    <x v="8"/>
    <x v="1"/>
    <n v="6.4399082745811231"/>
    <n v="665.55849999999987"/>
    <n v="3830.0175528444397"/>
    <n v="119.80052999999997"/>
    <n v="182.70233333333331"/>
    <n v="1502.5028633333332"/>
    <n v="2327.5146895111066"/>
    <n v="0.60770340015348778"/>
  </r>
  <r>
    <s v="FL-00010"/>
    <n v="52"/>
    <n v="99.040833333333325"/>
    <n v="21.295500000000001"/>
    <x v="9"/>
    <x v="1"/>
    <n v="-1.1510045085603504"/>
    <n v="660.83533333333321"/>
    <n v="4311.326600082205"/>
    <n v="118.95035999999998"/>
    <n v="181.40577777777776"/>
    <n v="1500.3561377777778"/>
    <n v="2810.9704623044272"/>
    <n v="0.65199664118483391"/>
  </r>
  <r>
    <s v="FL-00011"/>
    <n v="62"/>
    <n v="99.156999999999996"/>
    <n v="20.701833333333333"/>
    <x v="10"/>
    <x v="1"/>
    <n v="9.4875726456884006"/>
    <n v="666.86891666666656"/>
    <n v="1217.6302243311111"/>
    <n v="120.03640499999997"/>
    <n v="183.06205555555553"/>
    <n v="1503.0984605555554"/>
    <n v="-285.46823622444435"/>
    <n v="-0.23444575415435545"/>
  </r>
  <r>
    <s v="FL-00012"/>
    <n v="51"/>
    <n v="99.021833333333333"/>
    <n v="20.864833333333333"/>
    <x v="11"/>
    <x v="1"/>
    <n v="3.061064362700221"/>
    <n v="664.33449999999993"/>
    <n v="5489.5943347289749"/>
    <n v="119.58020999999998"/>
    <n v="182.3663333333333"/>
    <n v="1501.9465433333332"/>
    <n v="3987.6477913956414"/>
    <n v="0.72640117798294734"/>
  </r>
  <r>
    <s v="FL-00013"/>
    <n v="53"/>
    <n v="99.055333333333323"/>
    <n v="21.306166666666666"/>
    <x v="12"/>
    <x v="1"/>
    <n v="41.484882617128655"/>
    <n v="660.86791666666659"/>
    <n v="4870.9918836018969"/>
    <n v="118.95622499999998"/>
    <n v="181.4147222222222"/>
    <n v="1500.3709472222222"/>
    <n v="3370.6209363796747"/>
    <n v="0.69197835203273628"/>
  </r>
  <r>
    <s v="FL-00014"/>
    <n v="61"/>
    <n v="99.149166666666659"/>
    <n v="21.009"/>
    <x v="13"/>
    <x v="1"/>
    <n v="35.40601897822085"/>
    <n v="664.19141666666656"/>
    <n v="2080.5259980522428"/>
    <n v="119.55445499999998"/>
    <n v="182.32705555555555"/>
    <n v="1501.8815105555555"/>
    <n v="578.64448749668736"/>
    <n v="0.27812413208890713"/>
  </r>
  <r>
    <s v="FL-00015"/>
    <n v="65"/>
    <n v="99.179666666666662"/>
    <n v="20.555"/>
    <x v="14"/>
    <x v="1"/>
    <n v="26.670187825521172"/>
    <n v="668.30966666666654"/>
    <n v="1943.2123524319527"/>
    <n v="120.29573999999997"/>
    <n v="183.45755555555553"/>
    <n v="1503.7532955555555"/>
    <n v="439.4590568763972"/>
    <n v="0.2261508148228932"/>
  </r>
  <r>
    <s v="FL-00016"/>
    <n v="61"/>
    <n v="99.143000000000001"/>
    <n v="20.279499999999999"/>
    <x v="15"/>
    <x v="0"/>
    <n v="38.573029509385883"/>
    <n v="670.33974999999998"/>
    <n v="1950.3202943404522"/>
    <n v="120.66115499999999"/>
    <n v="184.01483333333334"/>
    <n v="1504.6759883333334"/>
    <n v="445.64430600711876"/>
    <n v="0.22849800994242545"/>
  </r>
  <r>
    <s v="FL-00017"/>
    <n v="60"/>
    <n v="99.138833333333338"/>
    <n v="21.029166666666665"/>
    <x v="16"/>
    <x v="1"/>
    <n v="35.183603844955726"/>
    <n v="663.93216666666672"/>
    <n v="2494.09009331792"/>
    <n v="119.50779"/>
    <n v="182.25588888888893"/>
    <n v="1501.763678888889"/>
    <n v="992.32641442903105"/>
    <n v="0.39787111824373855"/>
  </r>
  <r>
    <s v="FL-00018"/>
    <n v="55"/>
    <n v="99.08"/>
    <n v="21.084999999999997"/>
    <x v="17"/>
    <x v="1"/>
    <n v="4.3285029443017917"/>
    <n v="662.95749999999998"/>
    <n v="3486.4039423450704"/>
    <n v="119.33234999999999"/>
    <n v="181.98833333333334"/>
    <n v="1501.3206833333334"/>
    <n v="1985.083259011737"/>
    <n v="0.56937844605479204"/>
  </r>
  <r>
    <s v="FL-00019"/>
    <n v="58"/>
    <n v="99.109666666666669"/>
    <n v="20.281500000000001"/>
    <x v="18"/>
    <x v="1"/>
    <n v="39.627949924498886"/>
    <n v="670.03941666666674"/>
    <n v="3068.7525838895208"/>
    <n v="120.60709500000002"/>
    <n v="183.93238888888891"/>
    <n v="1504.539483888889"/>
    <n v="1564.2131000006318"/>
    <n v="0.50972278058925635"/>
  </r>
  <r>
    <s v="FL-00020"/>
    <n v="63"/>
    <n v="99.162499999999994"/>
    <n v="20.083833333333335"/>
    <x v="19"/>
    <x v="0"/>
    <n v="21.967112095782536"/>
    <n v="672.1686666666667"/>
    <n v="2435.5311308911892"/>
    <n v="120.99036"/>
    <n v="184.51688888888893"/>
    <n v="1505.5072488888889"/>
    <n v="930.0238820023003"/>
    <n v="0.38185670066224681"/>
  </r>
  <r>
    <s v="FL-00021"/>
    <n v="57"/>
    <n v="99.100666666666669"/>
    <n v="20.615333333333336"/>
    <x v="20"/>
    <x v="1"/>
    <n v="35.372007758203125"/>
    <n v="667.12533333333329"/>
    <n v="3878.3380262507076"/>
    <n v="120.08255999999999"/>
    <n v="183.13244444444445"/>
    <n v="1503.2150044444445"/>
    <n v="2375.1230218062628"/>
    <n v="0.61240742960776873"/>
  </r>
  <r>
    <s v="FL-00022"/>
    <n v="61"/>
    <n v="99.144833333333324"/>
    <n v="20.470000000000002"/>
    <x v="21"/>
    <x v="0"/>
    <n v="39.804564996174662"/>
    <n v="668.73608333333323"/>
    <n v="1752.7223729341883"/>
    <n v="120.37249499999997"/>
    <n v="183.57461111111107"/>
    <n v="1503.947106111111"/>
    <n v="248.77526682307735"/>
    <n v="0.14193649300351482"/>
  </r>
  <r>
    <s v="FL-00023"/>
    <n v="59"/>
    <n v="99.128500000000003"/>
    <n v="21.098666666666666"/>
    <x v="22"/>
    <x v="1"/>
    <n v="10.900173748593192"/>
    <n v="663.25358333333327"/>
    <n v="2439.6509184084816"/>
    <n v="119.38564499999998"/>
    <n v="182.0696111111111"/>
    <n v="1501.4552561111111"/>
    <n v="938.19566229737052"/>
    <n v="0.38456143672776233"/>
  </r>
  <r>
    <s v="FL-00024"/>
    <n v="56"/>
    <n v="99.085333333333338"/>
    <n v="20.53083333333333"/>
    <x v="23"/>
    <x v="1"/>
    <n v="0.50259622638383794"/>
    <n v="667.71325000000002"/>
    <n v="2773.6282948216121"/>
    <n v="120.188385"/>
    <n v="183.29383333333334"/>
    <n v="1503.4822183333333"/>
    <n v="1270.1460764882788"/>
    <n v="0.45793665966692526"/>
  </r>
  <r>
    <s v="FL-00025"/>
    <n v="56"/>
    <n v="99.094666666666669"/>
    <n v="21.298999999999999"/>
    <x v="24"/>
    <x v="0"/>
    <n v="6.3967581270970841"/>
    <n v="661.26316666666673"/>
    <n v="3177.3149289766616"/>
    <n v="119.02737"/>
    <n v="181.52322222222224"/>
    <n v="1500.5505922222223"/>
    <n v="1676.7643367544392"/>
    <n v="0.52772997774397068"/>
  </r>
  <r>
    <s v="FL-00026"/>
    <n v="56"/>
    <n v="99.085000000000008"/>
    <n v="20.230999999999998"/>
    <x v="25"/>
    <x v="0"/>
    <n v="16.355389431312815"/>
    <n v="670.25900000000013"/>
    <n v="4658.2918262685607"/>
    <n v="120.64662000000001"/>
    <n v="183.99266666666671"/>
    <n v="1504.6392866666667"/>
    <n v="3153.6525396018942"/>
    <n v="0.67699763287008785"/>
  </r>
  <r>
    <s v="FL-00027"/>
    <n v="61"/>
    <n v="99.149333333333331"/>
    <n v="21.013500000000001"/>
    <x v="26"/>
    <x v="1"/>
    <n v="35.900738296124658"/>
    <n v="664.15458333333322"/>
    <n v="2023.5320197126189"/>
    <n v="119.54782499999997"/>
    <n v="182.3169444444444"/>
    <n v="1501.8647694444444"/>
    <n v="521.66725026817448"/>
    <n v="0.25780034374858146"/>
  </r>
  <r>
    <s v="FL-00028"/>
    <n v="57"/>
    <n v="99.104499999999987"/>
    <n v="21.0365"/>
    <x v="27"/>
    <x v="1"/>
    <n v="38.036529162817175"/>
    <n v="663.57799999999986"/>
    <n v="3439.0549728612523"/>
    <n v="119.44403999999997"/>
    <n v="182.15866666666662"/>
    <n v="1501.6027066666666"/>
    <n v="1937.4522661945857"/>
    <n v="0.56336763485424857"/>
  </r>
  <r>
    <s v="FL-00029"/>
    <n v="53"/>
    <n v="99.044333333333327"/>
    <n v="20.183"/>
    <x v="28"/>
    <x v="0"/>
    <n v="-4.6523934734404646"/>
    <n v="670.32133333333331"/>
    <n v="3790.8655598791911"/>
    <n v="120.65783999999999"/>
    <n v="184.00977777777777"/>
    <n v="1504.6676177777777"/>
    <n v="2286.1979421014134"/>
    <n v="0.60308072285588277"/>
  </r>
  <r>
    <s v="FL-00030"/>
    <n v="67"/>
    <n v="99.187333333333328"/>
    <n v="20.413499999999999"/>
    <x v="29"/>
    <x v="0"/>
    <n v="20.537365128878285"/>
    <n v="669.57758333333334"/>
    <n v="1334.0268572399896"/>
    <n v="120.52396499999999"/>
    <n v="183.80561111111112"/>
    <n v="1504.3295761111112"/>
    <n v="-170.30271887112167"/>
    <n v="-0.12766063737537217"/>
  </r>
  <r>
    <s v="FL-00031"/>
    <n v="57"/>
    <n v="99.105000000000004"/>
    <n v="21.095666666666666"/>
    <x v="30"/>
    <x v="1"/>
    <n v="15.870550157438949"/>
    <n v="663.07933333333335"/>
    <n v="3858.9518335564726"/>
    <n v="119.35428"/>
    <n v="182.02177777777777"/>
    <n v="1501.3760577777778"/>
    <n v="2357.5757757786951"/>
    <n v="0.61093682364154178"/>
  </r>
  <r>
    <s v="FL-00032"/>
    <n v="59"/>
    <n v="99.128500000000003"/>
    <n v="21.123000000000001"/>
    <x v="31"/>
    <x v="0"/>
    <n v="6.1053905235365127"/>
    <n v="663.04674999999997"/>
    <n v="1892.358556592812"/>
    <n v="119.34841499999999"/>
    <n v="182.01283333333333"/>
    <n v="1501.3612483333334"/>
    <n v="390.99730825947859"/>
    <n v="0.20661903997911923"/>
  </r>
  <r>
    <s v="FL-00033"/>
    <n v="59"/>
    <n v="99.12566666666666"/>
    <n v="20.81"/>
    <x v="32"/>
    <x v="1"/>
    <n v="0.9932683666841402"/>
    <n v="665.68316666666658"/>
    <n v="1417.7321684337578"/>
    <n v="119.82296999999998"/>
    <n v="182.73655555555555"/>
    <n v="1502.5595255555554"/>
    <n v="-84.827357121797604"/>
    <n v="-5.9833132809217968E-2"/>
  </r>
  <r>
    <s v="FL-00034"/>
    <n v="53"/>
    <n v="99.05116666666666"/>
    <n v="20.8995"/>
    <x v="33"/>
    <x v="0"/>
    <n v="11.880758570181396"/>
    <n v="664.28916666666657"/>
    <n v="5394.9849176399994"/>
    <n v="119.57204999999998"/>
    <n v="182.35388888888886"/>
    <n v="1501.9259388888888"/>
    <n v="3893.0589787511108"/>
    <n v="0.72160701803298155"/>
  </r>
  <r>
    <s v="FL-00035"/>
    <n v="52"/>
    <n v="99.037000000000006"/>
    <n v="20.894500000000001"/>
    <x v="34"/>
    <x v="0"/>
    <n v="42.145485195625959"/>
    <n v="664.21125000000006"/>
    <n v="5470.3441488355165"/>
    <n v="119.558025"/>
    <n v="182.33250000000001"/>
    <n v="1501.890525"/>
    <n v="3968.4536238355167"/>
    <n v="0.72544862185321368"/>
  </r>
  <r>
    <s v="FL-00036"/>
    <n v="54"/>
    <n v="99.066333333333333"/>
    <n v="21.025833333333331"/>
    <x v="35"/>
    <x v="0"/>
    <n v="11.160146601037759"/>
    <n v="663.3442500000001"/>
    <n v="4762.7880665240755"/>
    <n v="119.40196500000002"/>
    <n v="182.09450000000004"/>
    <n v="1501.4964650000002"/>
    <n v="3261.2916015240753"/>
    <n v="0.68474422039614169"/>
  </r>
  <r>
    <s v="FL-00037"/>
    <n v="62"/>
    <n v="99.157499999999999"/>
    <n v="20.734999999999999"/>
    <x v="36"/>
    <x v="1"/>
    <n v="20.939531087168305"/>
    <n v="666.59124999999995"/>
    <n v="2495.7619612801682"/>
    <n v="119.98642499999998"/>
    <n v="182.98583333333332"/>
    <n v="1502.9722583333332"/>
    <n v="992.78970294683495"/>
    <n v="0.39779022132286868"/>
  </r>
  <r>
    <s v="FL-00038"/>
    <n v="65"/>
    <n v="99.179333333333332"/>
    <n v="20.509333333333334"/>
    <x v="37"/>
    <x v="0"/>
    <n v="30.150947944758897"/>
    <n v="668.69500000000005"/>
    <n v="1564.5245130287274"/>
    <n v="120.3651"/>
    <n v="183.56333333333336"/>
    <n v="1503.9284333333335"/>
    <n v="60.596079695393883"/>
    <n v="3.8731307301850648E-2"/>
  </r>
  <r>
    <s v="FL-00039"/>
    <n v="56"/>
    <n v="99.085000000000008"/>
    <n v="20.519000000000002"/>
    <x v="38"/>
    <x v="0"/>
    <n v="13.1814801189647"/>
    <n v="667.81100000000004"/>
    <n v="4204.0486193047063"/>
    <n v="120.20598"/>
    <n v="183.32066666666668"/>
    <n v="1503.5266466666667"/>
    <n v="2700.5219726380396"/>
    <n v="0.64236221251995651"/>
  </r>
  <r>
    <s v="FL-00040"/>
    <n v="57"/>
    <n v="99.096333333333334"/>
    <n v="20.1585"/>
    <x v="39"/>
    <x v="1"/>
    <n v="43.589104136048029"/>
    <n v="670.97158333333334"/>
    <n v="3105.6862218282058"/>
    <n v="120.774885"/>
    <n v="184.18827777777778"/>
    <n v="1504.9631627777778"/>
    <n v="1600.723059050428"/>
    <n v="0.51541686594086766"/>
  </r>
  <r>
    <s v="FL-00041"/>
    <n v="60"/>
    <n v="99.136833333333328"/>
    <n v="20.797000000000001"/>
    <x v="40"/>
    <x v="1"/>
    <n v="43.122364747105571"/>
    <n v="665.88858333333337"/>
    <n v="1674.1720568015046"/>
    <n v="119.859945"/>
    <n v="182.79294444444446"/>
    <n v="1502.6528894444446"/>
    <n v="171.51916735706004"/>
    <n v="0.10245014343671842"/>
  </r>
  <r>
    <s v="FL-00042"/>
    <n v="56"/>
    <n v="99.093333333333334"/>
    <n v="21.175000000000001"/>
    <x v="41"/>
    <x v="0"/>
    <n v="7.5891147912682078"/>
    <n v="662.30583333333334"/>
    <n v="3353.2960955007161"/>
    <n v="119.21504999999999"/>
    <n v="181.80944444444447"/>
    <n v="1501.0244944444444"/>
    <n v="1852.2716010562717"/>
    <n v="0.5523734106098046"/>
  </r>
  <r>
    <s v="FL-00043"/>
    <n v="67"/>
    <n v="99.186666666666667"/>
    <n v="20.336333333333336"/>
    <x v="42"/>
    <x v="0"/>
    <n v="19.862425294619271"/>
    <n v="670.22783333333336"/>
    <n v="1279.7483450184827"/>
    <n v="120.64100999999999"/>
    <n v="183.9841111111111"/>
    <n v="1504.6251211111112"/>
    <n v="-224.87677609262846"/>
    <n v="-0.17571952874014515"/>
  </r>
  <r>
    <s v="FL-00044"/>
    <n v="53"/>
    <n v="99.0505"/>
    <n v="20.819333333333336"/>
    <x v="43"/>
    <x v="1"/>
    <n v="10.043915490838485"/>
    <n v="664.96491666666668"/>
    <n v="5216.9418093545191"/>
    <n v="119.693685"/>
    <n v="182.53938888888891"/>
    <n v="1502.2330738888888"/>
    <n v="3714.7087354656305"/>
    <n v="0.71204718611290074"/>
  </r>
  <r>
    <s v="FL-00045"/>
    <n v="59"/>
    <n v="99.127499999999998"/>
    <n v="20.984999999999999"/>
    <x v="44"/>
    <x v="1"/>
    <n v="9.2420247188733793"/>
    <n v="664.21124999999995"/>
    <n v="2289.509917200076"/>
    <n v="119.55802499999999"/>
    <n v="182.33249999999998"/>
    <n v="1501.890525"/>
    <n v="787.61939220007594"/>
    <n v="0.34401222125444386"/>
  </r>
  <r>
    <s v="FL-00046"/>
    <n v="52"/>
    <n v="99.040333333333336"/>
    <n v="21.238999999999997"/>
    <x v="45"/>
    <x v="1"/>
    <n v="-3.1556526322733598"/>
    <n v="661.31133333333332"/>
    <n v="4106.3502795929189"/>
    <n v="119.03604"/>
    <n v="181.53644444444444"/>
    <n v="1500.5724844444444"/>
    <n v="2605.7777951484745"/>
    <n v="0.63457270269861077"/>
  </r>
  <r>
    <s v="FL-00047"/>
    <n v="63"/>
    <n v="99.167500000000004"/>
    <n v="20.734999999999999"/>
    <x v="46"/>
    <x v="1"/>
    <n v="25.478216698994839"/>
    <n v="666.67624999999998"/>
    <n v="2527.6998424023495"/>
    <n v="120.00172499999999"/>
    <n v="183.00916666666666"/>
    <n v="1503.0108916666668"/>
    <n v="1024.6889507356827"/>
    <n v="0.40538395166484986"/>
  </r>
  <r>
    <s v="FL-00048"/>
    <n v="59"/>
    <n v="99.128500000000003"/>
    <n v="21.139333333333333"/>
    <x v="47"/>
    <x v="0"/>
    <n v="20.133951161443076"/>
    <n v="662.90791666666678"/>
    <n v="3465.3060953001486"/>
    <n v="119.32342500000001"/>
    <n v="181.97472222222225"/>
    <n v="1501.2981472222223"/>
    <n v="1964.0079480779264"/>
    <n v="0.56676319322602675"/>
  </r>
  <r>
    <s v="FL-00049"/>
    <n v="54"/>
    <n v="99.05683333333333"/>
    <n v="20.024666666666668"/>
    <x v="48"/>
    <x v="0"/>
    <n v="-2.4260624375005326"/>
    <n v="671.77341666666655"/>
    <n v="3585.1962570447586"/>
    <n v="120.91921499999998"/>
    <n v="184.40838888888885"/>
    <n v="1505.3276038888889"/>
    <n v="2079.8686531558697"/>
    <n v="0.58012686169383776"/>
  </r>
  <r>
    <s v="FL-00050"/>
    <n v="60"/>
    <n v="99.135000000000005"/>
    <n v="20.633500000000002"/>
    <x v="49"/>
    <x v="1"/>
    <n v="8.9323232118305711"/>
    <n v="667.2627500000001"/>
    <n v="1956.8450498648717"/>
    <n v="120.10729500000001"/>
    <n v="183.17016666666672"/>
    <n v="1503.2774616666668"/>
    <n v="453.56758819820493"/>
    <n v="0.23178513200599385"/>
  </r>
  <r>
    <s v="FL-00051"/>
    <n v="52"/>
    <n v="99.041499999999999"/>
    <n v="21.380999999999997"/>
    <x v="50"/>
    <x v="0"/>
    <n v="40.413294298332687"/>
    <n v="660.11424999999997"/>
    <n v="5488.1308249405129"/>
    <n v="118.82056499999999"/>
    <n v="181.20783333333333"/>
    <n v="1500.0283983333334"/>
    <n v="3988.1024266071795"/>
    <n v="0.72667772577203593"/>
  </r>
  <r>
    <s v="FL-00052"/>
    <n v="54"/>
    <n v="99.05749999999999"/>
    <n v="20.110333333333333"/>
    <x v="51"/>
    <x v="1"/>
    <n v="6.9780945333486208"/>
    <n v="671.05091666666658"/>
    <n v="4613.0977051250156"/>
    <n v="120.78916499999998"/>
    <n v="184.21005555555553"/>
    <n v="1504.9992205555554"/>
    <n v="3108.0984845694602"/>
    <n v="0.67375518214505936"/>
  </r>
  <r>
    <s v="FL-00053"/>
    <n v="51"/>
    <n v="99.022999999999996"/>
    <n v="20.984999999999999"/>
    <x v="52"/>
    <x v="1"/>
    <n v="2.2447436045611542"/>
    <n v="663.32299999999998"/>
    <n v="5352.745237038851"/>
    <n v="119.39814"/>
    <n v="182.08866666666665"/>
    <n v="1501.4868066666668"/>
    <n v="3851.2584303721842"/>
    <n v="0.71949219696148059"/>
  </r>
  <r>
    <s v="FL-00054"/>
    <n v="55"/>
    <n v="99.081166666666661"/>
    <n v="21.196666666666665"/>
    <x v="53"/>
    <x v="1"/>
    <n v="19.47263801387815"/>
    <n v="662.01825000000008"/>
    <n v="5151.7230769244197"/>
    <n v="119.16328500000002"/>
    <n v="181.73050000000003"/>
    <n v="1500.893785"/>
    <n v="3650.8292919244195"/>
    <n v="0.7086617889609016"/>
  </r>
  <r>
    <s v="FL-00055"/>
    <n v="55"/>
    <n v="99.075166666666675"/>
    <n v="20.581666666666667"/>
    <x v="54"/>
    <x v="0"/>
    <n v="44.282522705530035"/>
    <n v="667.19475000000011"/>
    <n v="3815.5499046498835"/>
    <n v="120.09505500000002"/>
    <n v="183.15150000000006"/>
    <n v="1503.2465550000002"/>
    <n v="2312.3033496498833"/>
    <n v="0.60602099498998985"/>
  </r>
  <r>
    <s v="FL-00056"/>
    <n v="52"/>
    <n v="99.039999999999992"/>
    <n v="21.203166666666668"/>
    <x v="55"/>
    <x v="0"/>
    <n v="7.1027635755750209"/>
    <n v="661.61308333333318"/>
    <n v="5273.4340576040258"/>
    <n v="119.09035499999997"/>
    <n v="181.61927777777774"/>
    <n v="1500.7096327777776"/>
    <n v="3772.7244248262482"/>
    <n v="0.71542080238704608"/>
  </r>
  <r>
    <s v="FL-00057"/>
    <n v="67"/>
    <n v="99.18516666666666"/>
    <n v="20.083500000000001"/>
    <x v="56"/>
    <x v="1"/>
    <n v="28.606777370293926"/>
    <n v="672.36416666666662"/>
    <n v="1523.2162592336376"/>
    <n v="121.02554999999998"/>
    <n v="184.57055555555556"/>
    <n v="1505.5961055555556"/>
    <n v="17.620153678082033"/>
    <n v="1.1567729513960878E-2"/>
  </r>
  <r>
    <s v="FL-00058"/>
    <n v="62"/>
    <n v="99.158333333333331"/>
    <n v="20.855"/>
    <x v="57"/>
    <x v="1"/>
    <n v="33.080980766435879"/>
    <n v="665.57833333333326"/>
    <n v="2006.9228808861533"/>
    <n v="119.80409999999998"/>
    <n v="182.70777777777778"/>
    <n v="1502.5118777777777"/>
    <n v="504.41100310837555"/>
    <n v="0.25133551862523673"/>
  </r>
  <r>
    <s v="FL-00059"/>
    <n v="61"/>
    <n v="99.146000000000001"/>
    <n v="20.636000000000003"/>
    <x v="58"/>
    <x v="0"/>
    <n v="6.8818771996199839"/>
    <n v="667.33499999999992"/>
    <n v="1328.5228000974212"/>
    <n v="120.12029999999999"/>
    <n v="183.19"/>
    <n v="1503.3103000000001"/>
    <n v="-174.78749990257893"/>
    <n v="-0.1315652993608854"/>
  </r>
  <r>
    <s v="FL-00060"/>
    <n v="61"/>
    <n v="99.147499999999994"/>
    <n v="20.818499999999997"/>
    <x v="59"/>
    <x v="1"/>
    <n v="31.410817430592974"/>
    <n v="665.79649999999992"/>
    <n v="2588.9864884346898"/>
    <n v="119.84336999999998"/>
    <n v="182.76766666666666"/>
    <n v="1502.6110366666667"/>
    <n v="1086.3754517680231"/>
    <n v="0.41961418362783715"/>
  </r>
  <r>
    <s v="FL-00061"/>
    <n v="59"/>
    <n v="99.124166666666667"/>
    <n v="20.616833333333332"/>
    <x v="60"/>
    <x v="1"/>
    <n v="13.389156635962662"/>
    <n v="667.3123333333333"/>
    <n v="2874.0478036026689"/>
    <n v="120.11621999999998"/>
    <n v="183.18377777777778"/>
    <n v="1503.2999977777777"/>
    <n v="1370.7478058248912"/>
    <n v="0.47693980737085689"/>
  </r>
  <r>
    <s v="FL-00062"/>
    <n v="63"/>
    <n v="99.169000000000011"/>
    <n v="20.914333333333332"/>
    <x v="61"/>
    <x v="1"/>
    <n v="26.615291529678977"/>
    <n v="665.16466666666679"/>
    <n v="2346.0706429825318"/>
    <n v="119.72964000000002"/>
    <n v="182.59422222222227"/>
    <n v="1502.3238622222223"/>
    <n v="843.74678076030955"/>
    <n v="0.35964252964167537"/>
  </r>
  <r>
    <s v="FL-00063"/>
    <n v="57"/>
    <n v="99.100833333333341"/>
    <n v="20.622499999999999"/>
    <x v="62"/>
    <x v="0"/>
    <n v="26.676485538044737"/>
    <n v="667.06583333333333"/>
    <n v="4854.3187911836812"/>
    <n v="120.07185"/>
    <n v="183.11611111111111"/>
    <n v="1503.1879611111112"/>
    <n v="3351.13083007257"/>
    <n v="0.69034008152880855"/>
  </r>
  <r>
    <s v="FL-00064"/>
    <n v="62"/>
    <n v="99.153666666666666"/>
    <n v="20.279166666666665"/>
    <x v="63"/>
    <x v="1"/>
    <n v="21.788734203737924"/>
    <n v="670.43324999999993"/>
    <n v="2730.3899701211521"/>
    <n v="120.67798499999998"/>
    <n v="184.04049999999998"/>
    <n v="1504.7184849999999"/>
    <n v="1225.6714851211523"/>
    <n v="0.44889979033535898"/>
  </r>
  <r>
    <s v="FL-00065"/>
    <n v="56"/>
    <n v="99.094999999999999"/>
    <n v="21.34"/>
    <x v="64"/>
    <x v="1"/>
    <n v="-0.48551149727958481"/>
    <n v="660.91750000000002"/>
    <n v="2389.2052935932134"/>
    <n v="118.96514999999999"/>
    <n v="181.42833333333337"/>
    <n v="1500.3934833333333"/>
    <n v="888.81181025988008"/>
    <n v="0.37201148542709089"/>
  </r>
  <r>
    <s v="FL-00066"/>
    <n v="57"/>
    <n v="99.105000000000004"/>
    <n v="21.081500000000002"/>
    <x v="65"/>
    <x v="1"/>
    <n v="36.7651247794619"/>
    <n v="663.19974999999999"/>
    <n v="3567.1323742121181"/>
    <n v="119.37595499999999"/>
    <n v="182.05483333333333"/>
    <n v="1501.4307883333333"/>
    <n v="2065.7015858787845"/>
    <n v="0.57909305547850365"/>
  </r>
  <r>
    <s v="FL-00067"/>
    <n v="61"/>
    <n v="99.147166666666664"/>
    <n v="20.755333333333333"/>
    <x v="66"/>
    <x v="0"/>
    <n v="11.039003248586791"/>
    <n v="666.33058333333327"/>
    <n v="1759.1590123864319"/>
    <n v="119.93950499999998"/>
    <n v="182.91427777777778"/>
    <n v="1502.8537827777777"/>
    <n v="256.30522960865414"/>
    <n v="0.14569759061232149"/>
  </r>
  <r>
    <s v="FL-00068"/>
    <n v="53"/>
    <n v="99.046000000000006"/>
    <n v="20.367833333333333"/>
    <x v="67"/>
    <x v="0"/>
    <n v="4.3259255199927118"/>
    <n v="668.76441666666665"/>
    <n v="4734.8864133931775"/>
    <n v="120.37759499999999"/>
    <n v="183.58238888888889"/>
    <n v="1503.9599838888889"/>
    <n v="3230.9264295042885"/>
    <n v="0.68236619581099922"/>
  </r>
  <r>
    <s v="FL-00069"/>
    <n v="58"/>
    <n v="99.112499999999997"/>
    <n v="20.613499999999998"/>
    <x v="68"/>
    <x v="0"/>
    <n v="-2.9612429222618042"/>
    <n v="667.24149999999997"/>
    <n v="1460.4778965589687"/>
    <n v="120.10346999999999"/>
    <n v="183.16433333333333"/>
    <n v="1503.2678033333332"/>
    <n v="-42.789906774364454"/>
    <n v="-2.9298565130757358E-2"/>
  </r>
  <r>
    <s v="FL-00070"/>
    <n v="56"/>
    <n v="99.085000000000008"/>
    <n v="20.271666666666665"/>
    <x v="69"/>
    <x v="1"/>
    <n v="24.54464715941209"/>
    <n v="669.91333333333341"/>
    <n v="5565.9912147023279"/>
    <n v="120.58440000000002"/>
    <n v="183.8977777777778"/>
    <n v="1504.4821777777779"/>
    <n v="4061.5090369245499"/>
    <n v="0.7297009427891743"/>
  </r>
  <r>
    <s v="FL-00071"/>
    <n v="57"/>
    <n v="99.101000000000013"/>
    <n v="20.642499999999998"/>
    <x v="70"/>
    <x v="0"/>
    <n v="28.878218092114121"/>
    <n v="666.8972500000001"/>
    <n v="4600.1014618349582"/>
    <n v="120.04150500000002"/>
    <n v="183.06983333333335"/>
    <n v="1503.1113383333334"/>
    <n v="3096.990123501625"/>
    <n v="0.67324387281367715"/>
  </r>
  <r>
    <s v="FL-00072"/>
    <n v="56"/>
    <n v="99.093499999999992"/>
    <n v="21.208000000000002"/>
    <x v="71"/>
    <x v="0"/>
    <n v="-4.1706085536071926"/>
    <n v="662.02674999999999"/>
    <n v="2019.2205669037758"/>
    <n v="119.16481499999999"/>
    <n v="181.73283333333333"/>
    <n v="1500.8976483333333"/>
    <n v="518.32291857044243"/>
    <n v="0.25669455188108858"/>
  </r>
  <r>
    <s v="FL-00073"/>
    <n v="68"/>
    <n v="99.192833333333326"/>
    <n v="20.525833333333331"/>
    <x v="72"/>
    <x v="1"/>
    <n v="20.604652914964049"/>
    <n v="668.66949999999997"/>
    <n v="1149.8495270562109"/>
    <n v="120.36050999999999"/>
    <n v="183.55633333333333"/>
    <n v="1503.9168433333334"/>
    <n v="-354.06731627712247"/>
    <n v="-0.30792491360464225"/>
  </r>
  <r>
    <s v="FL-00074"/>
    <n v="53"/>
    <n v="99.0505"/>
    <n v="20.830499999999997"/>
    <x v="73"/>
    <x v="0"/>
    <n v="6.3247887598968973"/>
    <n v="664.87"/>
    <n v="4794.5764280467529"/>
    <n v="119.67659999999999"/>
    <n v="182.51333333333335"/>
    <n v="1502.1899333333333"/>
    <n v="3292.3864947134198"/>
    <n v="0.68668975124768106"/>
  </r>
  <r>
    <s v="FL-00075"/>
    <n v="58"/>
    <n v="99.113833333333332"/>
    <n v="20.755166666666664"/>
    <x v="74"/>
    <x v="1"/>
    <n v="27.258639520472492"/>
    <n v="666.04866666666669"/>
    <n v="4305.8580473142774"/>
    <n v="119.88876"/>
    <n v="182.83688888888889"/>
    <n v="1502.7256488888888"/>
    <n v="2803.1323984253886"/>
    <n v="0.65100436837991116"/>
  </r>
  <r>
    <s v="FL-00076"/>
    <n v="53"/>
    <n v="99.053166666666655"/>
    <n v="21.098833333333335"/>
    <x v="75"/>
    <x v="1"/>
    <n v="3.7183214502495718"/>
    <n v="662.61183333333327"/>
    <n v="4405.5322561844423"/>
    <n v="119.27012999999998"/>
    <n v="181.89344444444444"/>
    <n v="1501.1635744444443"/>
    <n v="2904.368681739998"/>
    <n v="0.65925488972708668"/>
  </r>
  <r>
    <s v="FL-00077"/>
    <n v="57"/>
    <n v="99.09899999999999"/>
    <n v="20.428833333333333"/>
    <x v="76"/>
    <x v="0"/>
    <n v="29.546886905123294"/>
    <n v="668.69641666666666"/>
    <n v="4595.7165600867547"/>
    <n v="120.36535499999999"/>
    <n v="183.56372222222222"/>
    <n v="1503.9290772222221"/>
    <n v="3091.7874828645326"/>
    <n v="0.6727541706371396"/>
  </r>
  <r>
    <s v="FL-00078"/>
    <n v="63"/>
    <n v="99.165500000000009"/>
    <n v="20.480333333333331"/>
    <x v="77"/>
    <x v="1"/>
    <n v="14.33676731502687"/>
    <n v="668.82391666666672"/>
    <n v="1458.2009328034064"/>
    <n v="120.388305"/>
    <n v="183.59872222222225"/>
    <n v="1503.9870272222222"/>
    <n v="-45.786094418815765"/>
    <n v="-3.1399029714506851E-2"/>
  </r>
  <r>
    <s v="FL-00079"/>
    <n v="58"/>
    <n v="99.112000000000009"/>
    <n v="20.5335"/>
    <x v="78"/>
    <x v="0"/>
    <n v="41.836499436836725"/>
    <n v="667.91725000000008"/>
    <n v="2738.0957784492266"/>
    <n v="120.22510500000001"/>
    <n v="183.34983333333335"/>
    <n v="1503.5749383333334"/>
    <n v="1234.5208401158932"/>
    <n v="0.45086839176060084"/>
  </r>
  <r>
    <s v="FL-00080"/>
    <n v="59"/>
    <n v="99.122166666666672"/>
    <n v="20.40583333333333"/>
    <x v="79"/>
    <x v="0"/>
    <n v="1.8760472072996623"/>
    <n v="669.08883333333335"/>
    <n v="1646.4107678630837"/>
    <n v="120.43599"/>
    <n v="183.67144444444446"/>
    <n v="1504.1074344444446"/>
    <n v="142.30333341863911"/>
    <n v="8.6432460353340651E-2"/>
  </r>
  <r>
    <s v="FL-00081"/>
    <n v="54"/>
    <n v="99.0625"/>
    <n v="20.61"/>
    <x v="80"/>
    <x v="0"/>
    <n v="12.053317552512926"/>
    <n v="666.84625000000005"/>
    <n v="5008.9654164401709"/>
    <n v="120.032325"/>
    <n v="183.05583333333334"/>
    <n v="1503.0881583333335"/>
    <n v="3505.8772581068374"/>
    <n v="0.69992043598464981"/>
  </r>
  <r>
    <s v="FL-00082"/>
    <n v="54"/>
    <n v="99.057000000000002"/>
    <n v="20.036000000000001"/>
    <x v="81"/>
    <x v="0"/>
    <n v="0.67367606202945352"/>
    <n v="671.67849999999999"/>
    <n v="3929.8415707240106"/>
    <n v="120.90213"/>
    <n v="184.38233333333332"/>
    <n v="1505.2844633333334"/>
    <n v="2424.5571073906772"/>
    <n v="0.61696052213728081"/>
  </r>
  <r>
    <s v="FL-00083"/>
    <n v="58"/>
    <n v="99.117000000000004"/>
    <n v="21.121833333333331"/>
    <x v="82"/>
    <x v="1"/>
    <n v="41.234680913928138"/>
    <n v="662.95891666666671"/>
    <n v="2614.0411118369216"/>
    <n v="119.332605"/>
    <n v="181.98872222222224"/>
    <n v="1501.3213272222222"/>
    <n v="1112.7197846146994"/>
    <n v="0.42567034603093001"/>
  </r>
  <r>
    <s v="FL-00084"/>
    <n v="62"/>
    <n v="99.156833333333324"/>
    <n v="20.674666666666667"/>
    <x v="83"/>
    <x v="0"/>
    <n v="38.866967669049053"/>
    <n v="667.09841666666659"/>
    <n v="1411.0125762871064"/>
    <n v="120.07771499999998"/>
    <n v="183.12505555555552"/>
    <n v="1503.2027705555556"/>
    <n v="-92.190194268449204"/>
    <n v="-6.5336196018206685E-2"/>
  </r>
  <r>
    <s v="FL-00085"/>
    <n v="58"/>
    <n v="99.116833333333332"/>
    <n v="21.096833333333333"/>
    <x v="84"/>
    <x v="1"/>
    <n v="7.8970813857577804"/>
    <n v="663.17"/>
    <n v="2524.4204477204803"/>
    <n v="119.37059999999998"/>
    <n v="182.04666666666668"/>
    <n v="1501.4172666666666"/>
    <n v="1023.0031810538137"/>
    <n v="0.40524278829129778"/>
  </r>
  <r>
    <s v="FL-00086"/>
    <n v="62"/>
    <n v="99.158000000000001"/>
    <n v="20.823666666666668"/>
    <x v="85"/>
    <x v="0"/>
    <n v="27.999202301708952"/>
    <n v="665.84183333333328"/>
    <n v="2588.3249491203619"/>
    <n v="119.85152999999998"/>
    <n v="182.7801111111111"/>
    <n v="1502.6316411111111"/>
    <n v="1085.6933080092508"/>
    <n v="0.41945788467488287"/>
  </r>
  <r>
    <s v="FL-00087"/>
    <n v="56"/>
    <n v="99.085000000000008"/>
    <n v="20.233000000000001"/>
    <x v="86"/>
    <x v="1"/>
    <n v="35.861110010060791"/>
    <n v="670.24200000000008"/>
    <n v="4408.2278025212881"/>
    <n v="120.64356000000001"/>
    <n v="183.98800000000003"/>
    <n v="1504.63156"/>
    <n v="2903.5962425212883"/>
    <n v="0.65867654136670861"/>
  </r>
  <r>
    <s v="FL-00088"/>
    <n v="59"/>
    <n v="99.122166666666672"/>
    <n v="20.4115"/>
    <x v="87"/>
    <x v="0"/>
    <n v="22.760040579973115"/>
    <n v="669.04066666666665"/>
    <n v="3994.0086210984591"/>
    <n v="120.42731999999999"/>
    <n v="183.65822222222221"/>
    <n v="1504.0855422222221"/>
    <n v="2489.923078876237"/>
    <n v="0.62341454791137674"/>
  </r>
  <r>
    <s v="FL-00089"/>
    <n v="56"/>
    <n v="99.086666666666659"/>
    <n v="20.579499999999999"/>
    <x v="88"/>
    <x v="1"/>
    <n v="21.482528917800323"/>
    <n v="667.31091666666669"/>
    <n v="5117.4573415934692"/>
    <n v="120.115965"/>
    <n v="183.18338888888891"/>
    <n v="1503.2993538888888"/>
    <n v="3614.1579877045806"/>
    <n v="0.70624096039444606"/>
  </r>
  <r>
    <s v="FL-00090"/>
    <n v="56"/>
    <n v="99.094833333333327"/>
    <n v="21.3155"/>
    <x v="89"/>
    <x v="1"/>
    <n v="7.0926145450225846"/>
    <n v="661.12433333333331"/>
    <n v="3249.9671632287718"/>
    <n v="119.00237999999999"/>
    <n v="181.48511111111111"/>
    <n v="1500.487491111111"/>
    <n v="1749.4796721176608"/>
    <n v="0.53830687642381925"/>
  </r>
  <r>
    <s v="FL-00091"/>
    <n v="58"/>
    <n v="99.114999999999995"/>
    <n v="20.895"/>
    <x v="90"/>
    <x v="1"/>
    <n v="-0.34486160970503937"/>
    <n v="664.87"/>
    <n v="1663.1741067223577"/>
    <n v="119.67659999999999"/>
    <n v="182.51333333333335"/>
    <n v="1502.1899333333333"/>
    <n v="160.98417338902436"/>
    <n v="9.6793337954423964E-2"/>
  </r>
  <r>
    <s v="FL-00092"/>
    <n v="55"/>
    <n v="99.074666666666658"/>
    <n v="20.518333333333331"/>
    <x v="91"/>
    <x v="0"/>
    <n v="39.860787897666334"/>
    <n v="667.72883333333334"/>
    <n v="4334.6015425034775"/>
    <n v="120.19118999999999"/>
    <n v="183.29811111111113"/>
    <n v="1503.4893011111112"/>
    <n v="2831.1122413923663"/>
    <n v="0.65314244311306158"/>
  </r>
  <r>
    <s v="FL-00093"/>
    <n v="54"/>
    <n v="99.0685"/>
    <n v="21.257833333333334"/>
    <x v="92"/>
    <x v="0"/>
    <n v="40.020902858166522"/>
    <n v="661.39066666666668"/>
    <n v="4548.5327187760386"/>
    <n v="119.05032"/>
    <n v="181.55822222222224"/>
    <n v="1500.6085422222222"/>
    <n v="3047.9241765538163"/>
    <n v="0.67008953546100469"/>
  </r>
  <r>
    <s v="FL-00094"/>
    <n v="60"/>
    <n v="99.13333333333334"/>
    <n v="20.403500000000001"/>
    <x v="93"/>
    <x v="1"/>
    <n v="26.655072863663396"/>
    <n v="669.20358333333343"/>
    <n v="3650.747389062733"/>
    <n v="120.45664500000001"/>
    <n v="183.70294444444448"/>
    <n v="1504.1595894444445"/>
    <n v="2146.5877996182885"/>
    <n v="0.5879858480620288"/>
  </r>
  <r>
    <s v="FL-00095"/>
    <n v="55"/>
    <n v="99.073333333333323"/>
    <n v="20.357166666666668"/>
    <x v="94"/>
    <x v="1"/>
    <n v="11.951489552435032"/>
    <n v="669.08741666666651"/>
    <n v="4594.352309795524"/>
    <n v="120.43573499999997"/>
    <n v="183.67105555555554"/>
    <n v="1504.1067905555556"/>
    <n v="3090.2455192399684"/>
    <n v="0.67261831720029819"/>
  </r>
  <r>
    <s v="FL-00096"/>
    <n v="58"/>
    <n v="99.108333333333334"/>
    <n v="20.148333333333333"/>
    <x v="95"/>
    <x v="1"/>
    <n v="12.460478730633044"/>
    <n v="671.16000000000008"/>
    <n v="3347.0801836397582"/>
    <n v="120.80880000000001"/>
    <n v="184.24000000000004"/>
    <n v="1505.0488"/>
    <n v="1842.0313836397581"/>
    <n v="0.55033978350547141"/>
  </r>
  <r>
    <s v="FL-00097"/>
    <n v="59"/>
    <n v="99.124166666666667"/>
    <n v="20.599499999999999"/>
    <x v="96"/>
    <x v="1"/>
    <n v="31.29778394351197"/>
    <n v="667.45966666666664"/>
    <n v="3477.2977322189727"/>
    <n v="120.14273999999999"/>
    <n v="183.22422222222224"/>
    <n v="1503.3669622222224"/>
    <n v="1973.9307699967503"/>
    <n v="0.56766228318825129"/>
  </r>
  <r>
    <s v="FL-00098"/>
    <n v="58"/>
    <n v="99.109499999999997"/>
    <n v="20.263833333333331"/>
    <x v="97"/>
    <x v="0"/>
    <n v="39.855512997628857"/>
    <n v="670.18816666666658"/>
    <n v="3048.9345826134736"/>
    <n v="120.63386999999997"/>
    <n v="183.9732222222222"/>
    <n v="1504.607092222222"/>
    <n v="1544.3274903912516"/>
    <n v="0.50651381607128187"/>
  </r>
  <r>
    <s v="FL-00099"/>
    <n v="62"/>
    <n v="99.160000000000011"/>
    <n v="21.057666666666666"/>
    <x v="98"/>
    <x v="0"/>
    <n v="39.354321213255865"/>
    <n v="663.86983333333342"/>
    <n v="1239.3860703484283"/>
    <n v="119.49657000000001"/>
    <n v="182.23877777777781"/>
    <n v="1501.7353477777779"/>
    <n v="-262.34927742934951"/>
    <n v="-0.21167680007537548"/>
  </r>
  <r>
    <s v="FL-00100"/>
    <n v="63"/>
    <n v="99.166333333333327"/>
    <n v="20.598666666666666"/>
    <x v="99"/>
    <x v="1"/>
    <n v="33.993777292881191"/>
    <n v="667.82516666666663"/>
    <n v="1610.5114214698699"/>
    <n v="120.20853"/>
    <n v="183.32455555555555"/>
    <n v="1503.5330855555555"/>
    <n v="106.97833591431436"/>
    <n v="6.642507124642316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4F8C7-A6CA-8746-A850-FFDFF9A54023}" name="PivotTable20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22" firstHeaderRow="0" firstDataRow="1" firstDataCol="1"/>
  <pivotFields count="14">
    <pivotField showAll="0"/>
    <pivotField showAll="0"/>
    <pivotField showAll="0"/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  <pivotField dataField="1" numFmtId="9" showAll="0"/>
  </pivotFields>
  <rowFields count="1">
    <field x="4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BIDTA(%)" fld="13" subtotal="average" baseField="0" baseItem="0" numFmtId="9"/>
    <dataField name="Average of Net Profit" fld="12" subtotal="average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A47E2-52F4-1F4A-A30D-AA00B807654F}" name="PivotTable21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4" firstHeaderRow="0" firstDataRow="1" firstDataCol="1"/>
  <pivotFields count="14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dataField="1" numFmtId="44" showAll="0"/>
    <pivotField numFmtId="44" showAll="0"/>
    <pivotField numFmtId="44" showAll="0"/>
    <pivotField numFmtId="44" showAll="0"/>
    <pivotField dataField="1" numFmtId="44" showAll="0"/>
    <pivotField dataField="1" numFmtId="9"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Net_kWh_used" fld="7" subtotal="average" baseField="0" baseItem="0"/>
    <dataField name="Average of Sortie Revenue" fld="8" subtotal="average" baseField="0" baseItem="0" numFmtId="44"/>
    <dataField name="Average of Net Profit" fld="12" subtotal="average" baseField="0" baseItem="0" numFmtId="44"/>
    <dataField name="Average of EBIDTA(%)" fld="13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00CA46-9DE8-A843-95F5-2F1FB0491347}" autoFormatId="16" applyNumberFormats="0" applyBorderFormats="0" applyFontFormats="0" applyPatternFormats="0" applyAlignmentFormats="0" applyWidthHeightFormats="0">
  <queryTableRefresh nextId="15" unboundColumnsRight="6">
    <queryTableFields count="14">
      <queryTableField id="1" name="flight_id" tableColumnId="1"/>
      <queryTableField id="2" name="Safe_Duration_Min" tableColumnId="2"/>
      <queryTableField id="3" name="Start_SoC" tableColumnId="3"/>
      <queryTableField id="4" name="End_SoC" tableColumnId="4"/>
      <queryTableField id="5" name="Payload" tableColumnId="5"/>
      <queryTableField id="6" name="Firmware" tableColumnId="6"/>
      <queryTableField id="7" name="Temp" tableColumnId="7"/>
      <queryTableField id="8" name="Net_kWh_used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FCAD9-EF85-D342-A324-E525567EDF73}" name="Alice_Master_Analysis" displayName="Alice_Master_Analysis" ref="A1:N101" tableType="queryTable" totalsRowShown="0">
  <autoFilter ref="A1:N101" xr:uid="{C22FCAD9-EF85-D342-A324-E525567EDF73}"/>
  <tableColumns count="14">
    <tableColumn id="1" xr3:uid="{65DD2AD6-6CFD-1747-A28B-BE7B48377530}" uniqueName="1" name="flight_id" queryTableFieldId="1" dataDxfId="6"/>
    <tableColumn id="2" xr3:uid="{D85AD181-1BA5-3446-9353-E0AA1C70C694}" uniqueName="2" name="Safe_Duration_Min" queryTableFieldId="2"/>
    <tableColumn id="3" xr3:uid="{457FB175-56D8-BD48-8AE9-AEE2F70874EF}" uniqueName="3" name="Start_SoC" queryTableFieldId="3"/>
    <tableColumn id="4" xr3:uid="{37A2473D-CD4E-834A-AAE0-95746A0C9982}" uniqueName="4" name="End_SoC" queryTableFieldId="4"/>
    <tableColumn id="5" xr3:uid="{AEC598A2-BA97-F445-BA45-7DC2666B5967}" uniqueName="5" name="Payload" queryTableFieldId="5"/>
    <tableColumn id="6" xr3:uid="{D7CFDD01-F309-654D-9F79-D08D5E479C94}" uniqueName="6" name="Firmware" queryTableFieldId="6" dataDxfId="5"/>
    <tableColumn id="7" xr3:uid="{932A4D6B-5EF4-6847-B50D-150FA83A16DE}" uniqueName="7" name="Temp" queryTableFieldId="7"/>
    <tableColumn id="8" xr3:uid="{5F00E08C-D831-BC4B-846D-DFA76B7B5109}" uniqueName="8" name="Net_kWh_used" queryTableFieldId="8"/>
    <tableColumn id="9" xr3:uid="{6E01F57A-E86F-7940-B52D-A50504740E65}" uniqueName="9" name="Sortie Revenue" queryTableFieldId="9" dataCellStyle="Currency">
      <calculatedColumnFormula>Alice_Master_Analysis[[#This Row],[Payload]]*val_yield_rate</calculatedColumnFormula>
    </tableColumn>
    <tableColumn id="10" xr3:uid="{F80A9ACF-6F4A-2643-9D18-EDE182A19DEE}" uniqueName="10" name="Energy Cost" queryTableFieldId="10" dataCellStyle="Currency">
      <calculatedColumnFormula>Alice_Master_Analysis[[#This Row],[Net_kWh_used]]*val_elec_rate</calculatedColumnFormula>
    </tableColumn>
    <tableColumn id="11" xr3:uid="{B8AFA812-0F82-1E42-AC8B-640903E41113}" uniqueName="11" name="Battery Depreciation" queryTableFieldId="11" dataCellStyle="Currency">
      <calculatedColumnFormula>(Alice_Master_Analysis[[#This Row],[Net_kWh_used]]/850)*(val_battery_cost/val_cycle)</calculatedColumnFormula>
    </tableColumn>
    <tableColumn id="12" xr3:uid="{A175C20C-7176-DB41-BFF4-DBB112FC0775}" uniqueName="12" name="Total OpEx per Sortie" queryTableFieldId="12" dataDxfId="4" dataCellStyle="Currency">
      <calculatedColumnFormula>Alice_Master_Analysis[[#This Row],[Energy Cost]]+Alice_Master_Analysis[[#This Row],[Battery Depreciation]]+val_ground_ops</calculatedColumnFormula>
    </tableColumn>
    <tableColumn id="13" xr3:uid="{124B15FE-FE0F-7B46-912D-62F90F078279}" uniqueName="13" name="Net Profit" queryTableFieldId="13" dataDxfId="3" dataCellStyle="Currency">
      <calculatedColumnFormula>Alice_Master_Analysis[[#This Row],[Sortie Revenue]]-Alice_Master_Analysis[[#This Row],[Total OpEx per Sortie]]</calculatedColumnFormula>
    </tableColumn>
    <tableColumn id="14" xr3:uid="{BCDAE1FF-7CFA-1A4D-BDC7-E34050A0553F}" uniqueName="14" name="EBIDTA(%)" queryTableFieldId="14" dataCellStyle="Percent">
      <calculatedColumnFormula>Alice_Master_Analysis[[#This Row],[Net Profit]]/Alice_Master_Analysis[[#This Row],[Sortie Revenue]]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001225-107B-344E-855F-A178662FAA5A}" name="Table7" displayName="Table7" ref="A1:F101" totalsRowShown="0">
  <autoFilter ref="A1:F101" xr:uid="{52001225-107B-344E-855F-A178662FAA5A}"/>
  <tableColumns count="6">
    <tableColumn id="1" xr3:uid="{95B23015-0F2C-B949-BF62-F3C4B7804ACB}" name="flight_id" dataDxfId="2">
      <calculatedColumnFormula>Alice_Master_Analysis[[#This Row],[flight_id]]</calculatedColumnFormula>
    </tableColumn>
    <tableColumn id="2" xr3:uid="{803CA7D3-512F-B347-B805-C95D6435B7B8}" name="Net_Profit" dataDxfId="1" dataCellStyle="Currency">
      <calculatedColumnFormula>Alice_Master_Analysis[[#This Row],[Net Profit]]</calculatedColumnFormula>
    </tableColumn>
    <tableColumn id="3" xr3:uid="{F81FF4CA-02CC-F14A-8D56-EA1EAEBBEAF4}" name="Energy_kWh" dataDxfId="0">
      <calculatedColumnFormula>Alice_Master_Analysis[[#This Row],[Net_kWh_used]]</calculatedColumnFormula>
    </tableColumn>
    <tableColumn id="4" xr3:uid="{258F74F6-39CB-604A-A19A-2942501897E2}" name="Flight Decision"/>
    <tableColumn id="5" xr3:uid="{FEBE3E5F-2876-F944-A459-78AF77EC23CB}" name="Opt.Profit" dataDxfId="7">
      <calculatedColumnFormula>B2*D2</calculatedColumnFormula>
    </tableColumn>
    <tableColumn id="6" xr3:uid="{37BE7D2A-0171-744C-9658-9293A3F687CA}" name="Opt.Energy">
      <calculatedColumnFormula>C2*D2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C153-476B-1040-A723-A1BA94C50073}">
  <dimension ref="A2:O35"/>
  <sheetViews>
    <sheetView tabSelected="1" zoomScale="117" workbookViewId="0">
      <selection activeCell="H32" sqref="H32"/>
    </sheetView>
  </sheetViews>
  <sheetFormatPr baseColWidth="10" defaultRowHeight="16" x14ac:dyDescent="0.2"/>
  <cols>
    <col min="1" max="1" width="24.6640625" customWidth="1"/>
    <col min="2" max="2" width="9.83203125" style="5" customWidth="1"/>
    <col min="3" max="3" width="19.5" customWidth="1"/>
    <col min="4" max="4" width="36.6640625" customWidth="1"/>
    <col min="6" max="6" width="21.6640625" customWidth="1"/>
    <col min="7" max="7" width="12.5" bestFit="1" customWidth="1"/>
    <col min="8" max="8" width="13.83203125" customWidth="1"/>
    <col min="9" max="9" width="47.5" customWidth="1"/>
  </cols>
  <sheetData>
    <row r="2" spans="1:15" ht="21" thickBot="1" x14ac:dyDescent="0.3">
      <c r="A2" s="64" t="s">
        <v>188</v>
      </c>
      <c r="B2" s="64"/>
      <c r="C2" s="64"/>
      <c r="D2" s="64"/>
      <c r="E2" s="2"/>
      <c r="F2" s="63" t="s">
        <v>189</v>
      </c>
      <c r="G2" s="63"/>
      <c r="H2" s="63"/>
      <c r="I2" s="63"/>
    </row>
    <row r="3" spans="1:15" ht="17" thickTop="1" x14ac:dyDescent="0.2">
      <c r="E3" s="2"/>
      <c r="F3" s="43" t="s">
        <v>106</v>
      </c>
      <c r="G3" s="44">
        <v>850</v>
      </c>
      <c r="H3" s="43" t="s">
        <v>107</v>
      </c>
      <c r="I3" s="42" t="s">
        <v>127</v>
      </c>
    </row>
    <row r="4" spans="1:15" x14ac:dyDescent="0.2">
      <c r="A4" s="65" t="s">
        <v>191</v>
      </c>
      <c r="B4" s="65"/>
      <c r="C4" s="65"/>
      <c r="D4" s="65"/>
      <c r="E4" s="2"/>
      <c r="F4" s="43" t="s">
        <v>108</v>
      </c>
      <c r="G4" s="44">
        <v>2500</v>
      </c>
      <c r="H4" s="43" t="s">
        <v>109</v>
      </c>
      <c r="I4" s="42" t="s">
        <v>124</v>
      </c>
    </row>
    <row r="5" spans="1:15" x14ac:dyDescent="0.2">
      <c r="A5" s="65"/>
      <c r="B5" s="65"/>
      <c r="C5" s="65"/>
      <c r="D5" s="65"/>
      <c r="E5" s="2"/>
      <c r="F5" s="11" t="s">
        <v>110</v>
      </c>
      <c r="G5" s="47">
        <v>0.18</v>
      </c>
      <c r="H5" s="11" t="s">
        <v>111</v>
      </c>
      <c r="I5" s="42" t="s">
        <v>125</v>
      </c>
    </row>
    <row r="6" spans="1:15" x14ac:dyDescent="0.2">
      <c r="A6" s="65"/>
      <c r="B6" s="65"/>
      <c r="C6" s="65"/>
      <c r="D6" s="65"/>
      <c r="E6" s="2"/>
      <c r="F6" s="11" t="s">
        <v>112</v>
      </c>
      <c r="G6" s="48">
        <v>350000</v>
      </c>
      <c r="H6" s="11" t="s">
        <v>113</v>
      </c>
      <c r="I6" s="42" t="s">
        <v>128</v>
      </c>
    </row>
    <row r="7" spans="1:15" x14ac:dyDescent="0.2">
      <c r="B7"/>
      <c r="E7" s="2"/>
      <c r="F7" s="11" t="s">
        <v>114</v>
      </c>
      <c r="G7" s="10">
        <v>1500</v>
      </c>
      <c r="H7" s="11" t="s">
        <v>115</v>
      </c>
      <c r="I7" s="42" t="s">
        <v>116</v>
      </c>
    </row>
    <row r="8" spans="1:15" x14ac:dyDescent="0.2">
      <c r="A8" s="12"/>
      <c r="B8" s="13"/>
      <c r="C8" s="12" t="s">
        <v>173</v>
      </c>
      <c r="D8" s="13">
        <v>100</v>
      </c>
      <c r="E8" s="2"/>
      <c r="F8" s="11" t="s">
        <v>117</v>
      </c>
      <c r="G8" s="47">
        <v>0.25</v>
      </c>
      <c r="H8" s="11" t="s">
        <v>118</v>
      </c>
      <c r="I8" s="42" t="s">
        <v>119</v>
      </c>
    </row>
    <row r="9" spans="1:15" x14ac:dyDescent="0.2">
      <c r="A9" s="12"/>
      <c r="B9" s="14"/>
      <c r="C9" s="12" t="s">
        <v>218</v>
      </c>
      <c r="D9" s="14" t="s">
        <v>219</v>
      </c>
      <c r="E9" s="2"/>
      <c r="F9" s="11" t="s">
        <v>120</v>
      </c>
      <c r="G9" s="48">
        <v>1200</v>
      </c>
      <c r="H9" s="11" t="s">
        <v>121</v>
      </c>
      <c r="I9" s="42" t="s">
        <v>122</v>
      </c>
    </row>
    <row r="10" spans="1:15" x14ac:dyDescent="0.2">
      <c r="F10" s="11" t="s">
        <v>130</v>
      </c>
      <c r="G10" s="49">
        <v>1.1200000000000001</v>
      </c>
      <c r="H10" s="11"/>
      <c r="I10" s="42"/>
    </row>
    <row r="11" spans="1:15" x14ac:dyDescent="0.2">
      <c r="E11" s="2"/>
      <c r="F11" s="11" t="s">
        <v>175</v>
      </c>
      <c r="G11" s="47">
        <v>2.25</v>
      </c>
      <c r="H11" s="11" t="s">
        <v>123</v>
      </c>
      <c r="I11" s="42" t="s">
        <v>129</v>
      </c>
    </row>
    <row r="13" spans="1:15" ht="19" thickBot="1" x14ac:dyDescent="0.3">
      <c r="F13" s="63" t="s">
        <v>193</v>
      </c>
      <c r="G13" s="63"/>
      <c r="H13" s="63"/>
      <c r="I13" s="63"/>
      <c r="J13" s="63"/>
      <c r="K13" s="63"/>
      <c r="L13" s="63"/>
      <c r="M13" s="63"/>
      <c r="N13" s="63"/>
      <c r="O13" s="63"/>
    </row>
    <row r="14" spans="1:15" ht="18" thickTop="1" thickBot="1" x14ac:dyDescent="0.25">
      <c r="A14" s="60" t="s">
        <v>192</v>
      </c>
      <c r="B14" s="60"/>
      <c r="C14" s="60"/>
      <c r="D14" s="60"/>
      <c r="F14" s="15" t="s">
        <v>174</v>
      </c>
      <c r="G14" s="76">
        <f>SUM(Alice_ROI_Analysis!M:M)</f>
        <v>173786.85551686084</v>
      </c>
      <c r="H14" s="45"/>
    </row>
    <row r="15" spans="1:15" ht="16" customHeight="1" thickTop="1" x14ac:dyDescent="0.2">
      <c r="A15" s="59" t="s">
        <v>214</v>
      </c>
      <c r="B15" s="61"/>
      <c r="C15" s="61"/>
      <c r="D15" s="61"/>
      <c r="F15" s="15" t="s">
        <v>170</v>
      </c>
      <c r="G15" s="46">
        <f>AVERAGE(Alice_ROI_Analysis!N:N)</f>
        <v>0.43133482816833491</v>
      </c>
      <c r="H15" s="45"/>
    </row>
    <row r="16" spans="1:15" x14ac:dyDescent="0.2">
      <c r="A16" s="61"/>
      <c r="B16" s="61"/>
      <c r="C16" s="61"/>
      <c r="D16" s="61"/>
      <c r="F16" s="15" t="s">
        <v>171</v>
      </c>
      <c r="G16" s="16">
        <f>COUNTIF(Alice_ROI_Analysis!N:N, "&gt;0") / 100</f>
        <v>0.89</v>
      </c>
      <c r="H16" s="45"/>
    </row>
    <row r="17" spans="1:8" x14ac:dyDescent="0.2">
      <c r="F17" s="15" t="s">
        <v>172</v>
      </c>
      <c r="G17" s="17">
        <f>SUM(Alice_ROI_Analysis!H:H)</f>
        <v>66653.081500000029</v>
      </c>
      <c r="H17" s="45" t="s">
        <v>107</v>
      </c>
    </row>
    <row r="18" spans="1:8" x14ac:dyDescent="0.2">
      <c r="A18" s="59" t="s">
        <v>215</v>
      </c>
      <c r="B18" s="61"/>
      <c r="C18" s="61"/>
      <c r="D18" s="61"/>
      <c r="F18" s="15" t="s">
        <v>194</v>
      </c>
      <c r="G18" s="77">
        <f>G14/G17</f>
        <v>2.607334148787416</v>
      </c>
      <c r="H18" s="45" t="s">
        <v>187</v>
      </c>
    </row>
    <row r="19" spans="1:8" x14ac:dyDescent="0.2">
      <c r="A19" s="61"/>
      <c r="B19" s="61"/>
      <c r="C19" s="61"/>
      <c r="D19" s="61"/>
    </row>
    <row r="21" spans="1:8" ht="16" customHeight="1" x14ac:dyDescent="0.2">
      <c r="A21" s="61" t="s">
        <v>217</v>
      </c>
      <c r="B21" s="59"/>
      <c r="C21" s="59"/>
      <c r="D21" s="59"/>
    </row>
    <row r="22" spans="1:8" x14ac:dyDescent="0.2">
      <c r="A22" s="59"/>
      <c r="B22" s="59"/>
      <c r="C22" s="59"/>
      <c r="D22" s="59"/>
    </row>
    <row r="24" spans="1:8" x14ac:dyDescent="0.2">
      <c r="A24" s="71" t="s">
        <v>216</v>
      </c>
      <c r="B24" s="62"/>
      <c r="C24" s="62"/>
      <c r="D24" s="62"/>
    </row>
    <row r="25" spans="1:8" ht="16" customHeight="1" x14ac:dyDescent="0.2">
      <c r="A25" s="62"/>
      <c r="B25" s="62"/>
      <c r="C25" s="62"/>
      <c r="D25" s="62"/>
    </row>
    <row r="26" spans="1:8" ht="16" customHeight="1" x14ac:dyDescent="0.2">
      <c r="A26" s="23"/>
      <c r="B26" s="23"/>
      <c r="C26" s="23"/>
      <c r="D26" s="23"/>
    </row>
    <row r="27" spans="1:8" ht="17" thickBot="1" x14ac:dyDescent="0.25">
      <c r="A27" s="60" t="s">
        <v>195</v>
      </c>
      <c r="B27" s="60"/>
      <c r="C27" s="60"/>
      <c r="D27" s="60"/>
    </row>
    <row r="28" spans="1:8" ht="17" thickTop="1" x14ac:dyDescent="0.2">
      <c r="A28" s="59" t="s">
        <v>196</v>
      </c>
      <c r="B28" s="61"/>
      <c r="C28" s="61"/>
      <c r="D28" s="61"/>
    </row>
    <row r="29" spans="1:8" x14ac:dyDescent="0.2">
      <c r="A29" s="61"/>
      <c r="B29" s="61"/>
      <c r="C29" s="61"/>
      <c r="D29" s="61"/>
    </row>
    <row r="31" spans="1:8" ht="16" customHeight="1" x14ac:dyDescent="0.2">
      <c r="A31" s="59" t="s">
        <v>197</v>
      </c>
      <c r="B31" s="59"/>
      <c r="C31" s="59"/>
      <c r="D31" s="59"/>
    </row>
    <row r="32" spans="1:8" x14ac:dyDescent="0.2">
      <c r="A32" s="59"/>
      <c r="B32" s="59"/>
      <c r="C32" s="59"/>
      <c r="D32" s="59"/>
    </row>
    <row r="34" spans="1:4" ht="16" customHeight="1" x14ac:dyDescent="0.2">
      <c r="A34" s="59"/>
      <c r="B34" s="59"/>
      <c r="C34" s="59"/>
      <c r="D34" s="59"/>
    </row>
    <row r="35" spans="1:4" x14ac:dyDescent="0.2">
      <c r="A35" s="59"/>
      <c r="B35" s="59"/>
      <c r="C35" s="59"/>
      <c r="D35" s="59"/>
    </row>
  </sheetData>
  <scenarios current="0" show="0" sqref="G8">
    <scenario name="Bull Case" locked="1" count="2" user="Xinxuan Gan" comment="_x000a_Modified by Xinxuan Gan on 4/2/2026">
      <inputCells r="G5" val="0.08"/>
      <inputCells r="G11" val="4"/>
    </scenario>
    <scenario name="Bear Case" locked="1" count="2" user="Xinxuan Gan" comment="_x000a_Modified by Xinxuan Gan on 4/2/2026">
      <inputCells r="G5" val="0.3"/>
      <inputCells r="G11" val="1.2"/>
    </scenario>
    <scenario name="Base" locked="1" count="2" user="Xinxuan Gan">
      <inputCells r="G5" val="0.18"/>
      <inputCells r="G11" val="3"/>
    </scenario>
  </scenarios>
  <mergeCells count="13">
    <mergeCell ref="A15:D16"/>
    <mergeCell ref="A14:D14"/>
    <mergeCell ref="A18:D19"/>
    <mergeCell ref="F2:I2"/>
    <mergeCell ref="A2:D2"/>
    <mergeCell ref="F13:O13"/>
    <mergeCell ref="A4:D6"/>
    <mergeCell ref="A21:D22"/>
    <mergeCell ref="A27:D27"/>
    <mergeCell ref="A28:D29"/>
    <mergeCell ref="A31:D32"/>
    <mergeCell ref="A34:D35"/>
    <mergeCell ref="A24:D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C24-2D87-1244-81C8-00E51A9D8A6A}">
  <dimension ref="A1:N101"/>
  <sheetViews>
    <sheetView workbookViewId="0">
      <selection activeCell="M1" sqref="M1:M101"/>
    </sheetView>
  </sheetViews>
  <sheetFormatPr baseColWidth="10" defaultRowHeight="16" x14ac:dyDescent="0.2"/>
  <cols>
    <col min="1" max="1" width="10.33203125" bestFit="1" customWidth="1"/>
    <col min="2" max="2" width="19.33203125" bestFit="1" customWidth="1"/>
    <col min="3" max="5" width="12.1640625" bestFit="1" customWidth="1"/>
    <col min="6" max="6" width="11.5" bestFit="1" customWidth="1"/>
    <col min="7" max="7" width="12.83203125" bestFit="1" customWidth="1"/>
    <col min="8" max="8" width="16" bestFit="1" customWidth="1"/>
    <col min="9" max="9" width="12.1640625" style="7" customWidth="1"/>
    <col min="10" max="11" width="10.83203125" style="7"/>
    <col min="14" max="14" width="10.83203125" style="70"/>
  </cols>
  <sheetData>
    <row r="1" spans="1:14" x14ac:dyDescent="0.2">
      <c r="A1" t="s">
        <v>0</v>
      </c>
      <c r="B1" t="s">
        <v>201</v>
      </c>
      <c r="C1" t="s">
        <v>103</v>
      </c>
      <c r="D1" t="s">
        <v>104</v>
      </c>
      <c r="E1" t="s">
        <v>190</v>
      </c>
      <c r="F1" t="s">
        <v>202</v>
      </c>
      <c r="G1" t="s">
        <v>126</v>
      </c>
      <c r="H1" t="s">
        <v>203</v>
      </c>
      <c r="I1" s="7" t="s">
        <v>204</v>
      </c>
      <c r="J1" s="7" t="s">
        <v>167</v>
      </c>
      <c r="K1" s="7" t="s">
        <v>205</v>
      </c>
      <c r="L1" t="s">
        <v>206</v>
      </c>
      <c r="M1" t="s">
        <v>161</v>
      </c>
      <c r="N1" s="70" t="s">
        <v>207</v>
      </c>
    </row>
    <row r="2" spans="1:14" x14ac:dyDescent="0.2">
      <c r="A2" s="69" t="s">
        <v>1</v>
      </c>
      <c r="B2">
        <v>55</v>
      </c>
      <c r="C2">
        <v>99.0745</v>
      </c>
      <c r="D2">
        <v>20.512333333333334</v>
      </c>
      <c r="E2">
        <v>1249.0802376947249</v>
      </c>
      <c r="F2" s="69" t="s">
        <v>5</v>
      </c>
      <c r="G2">
        <v>-3.4285407156632877</v>
      </c>
      <c r="H2">
        <v>667.77841666666666</v>
      </c>
      <c r="I2" s="7">
        <f>Alice_Master_Analysis[[#This Row],[Payload]]*val_yield_rate</f>
        <v>2810.4305348131311</v>
      </c>
      <c r="J2" s="7">
        <f>Alice_Master_Analysis[[#This Row],[Net_kWh_used]]*val_elec_rate</f>
        <v>120.200115</v>
      </c>
      <c r="K2" s="7">
        <f>(Alice_Master_Analysis[[#This Row],[Net_kWh_used]]/850)*(val_battery_cost/val_cycle)</f>
        <v>183.31172222222222</v>
      </c>
      <c r="L2" s="7">
        <f>Alice_Master_Analysis[[#This Row],[Energy Cost]]+Alice_Master_Analysis[[#This Row],[Battery Depreciation]]+val_ground_ops</f>
        <v>1503.5118372222223</v>
      </c>
      <c r="M2" s="7">
        <f>Alice_Master_Analysis[[#This Row],[Sortie Revenue]]-Alice_Master_Analysis[[#This Row],[Total OpEx per Sortie]]</f>
        <v>1306.9186975909088</v>
      </c>
      <c r="N2" s="70">
        <f>Alice_Master_Analysis[[#This Row],[Net Profit]]/Alice_Master_Analysis[[#This Row],[Sortie Revenue]]</f>
        <v>0.46502437309940747</v>
      </c>
    </row>
    <row r="3" spans="1:14" x14ac:dyDescent="0.2">
      <c r="A3" s="69" t="s">
        <v>3</v>
      </c>
      <c r="B3">
        <v>56</v>
      </c>
      <c r="C3">
        <v>99.085000000000008</v>
      </c>
      <c r="D3">
        <v>20.298833333333334</v>
      </c>
      <c r="E3">
        <v>2401.4286128198323</v>
      </c>
      <c r="F3" s="69" t="s">
        <v>2</v>
      </c>
      <c r="G3">
        <v>26.820520563189021</v>
      </c>
      <c r="H3">
        <v>669.68241666666677</v>
      </c>
      <c r="I3" s="7">
        <f>Alice_Master_Analysis[[#This Row],[Payload]]*val_yield_rate</f>
        <v>5403.2143788446228</v>
      </c>
      <c r="J3" s="7">
        <f>Alice_Master_Analysis[[#This Row],[Net_kWh_used]]*val_elec_rate</f>
        <v>120.54283500000001</v>
      </c>
      <c r="K3" s="7">
        <f>(Alice_Master_Analysis[[#This Row],[Net_kWh_used]]/850)*(val_battery_cost/val_cycle)</f>
        <v>183.83438888888892</v>
      </c>
      <c r="L3" s="7">
        <f>Alice_Master_Analysis[[#This Row],[Energy Cost]]+Alice_Master_Analysis[[#This Row],[Battery Depreciation]]+val_ground_ops</f>
        <v>1504.3772238888889</v>
      </c>
      <c r="M3" s="7">
        <f>Alice_Master_Analysis[[#This Row],[Sortie Revenue]]-Alice_Master_Analysis[[#This Row],[Total OpEx per Sortie]]</f>
        <v>3898.8371549557341</v>
      </c>
      <c r="N3" s="70">
        <f>Alice_Master_Analysis[[#This Row],[Net Profit]]/Alice_Master_Analysis[[#This Row],[Sortie Revenue]]</f>
        <v>0.72157735777076981</v>
      </c>
    </row>
    <row r="4" spans="1:14" x14ac:dyDescent="0.2">
      <c r="A4" s="69" t="s">
        <v>4</v>
      </c>
      <c r="B4">
        <v>55</v>
      </c>
      <c r="C4">
        <v>99.074333333333328</v>
      </c>
      <c r="D4">
        <v>20.463833333333334</v>
      </c>
      <c r="E4">
        <v>1963.9878836228104</v>
      </c>
      <c r="F4" s="69" t="s">
        <v>5</v>
      </c>
      <c r="G4">
        <v>10.717799053816334</v>
      </c>
      <c r="H4">
        <v>668.18925000000002</v>
      </c>
      <c r="I4" s="7">
        <f>Alice_Master_Analysis[[#This Row],[Payload]]*val_yield_rate</f>
        <v>4418.972738151323</v>
      </c>
      <c r="J4" s="7">
        <f>Alice_Master_Analysis[[#This Row],[Net_kWh_used]]*val_elec_rate</f>
        <v>120.27406499999999</v>
      </c>
      <c r="K4" s="7">
        <f>(Alice_Master_Analysis[[#This Row],[Net_kWh_used]]/850)*(val_battery_cost/val_cycle)</f>
        <v>183.42450000000002</v>
      </c>
      <c r="L4" s="7">
        <f>Alice_Master_Analysis[[#This Row],[Energy Cost]]+Alice_Master_Analysis[[#This Row],[Battery Depreciation]]+val_ground_ops</f>
        <v>1503.6985650000001</v>
      </c>
      <c r="M4" s="7">
        <f>Alice_Master_Analysis[[#This Row],[Sortie Revenue]]-Alice_Master_Analysis[[#This Row],[Total OpEx per Sortie]]</f>
        <v>2915.2741731513229</v>
      </c>
      <c r="N4" s="70">
        <f>Alice_Master_Analysis[[#This Row],[Net Profit]]/Alice_Master_Analysis[[#This Row],[Sortie Revenue]]</f>
        <v>0.65971761898013603</v>
      </c>
    </row>
    <row r="5" spans="1:14" x14ac:dyDescent="0.2">
      <c r="A5" s="69" t="s">
        <v>6</v>
      </c>
      <c r="B5">
        <v>59</v>
      </c>
      <c r="C5">
        <v>99.11999999999999</v>
      </c>
      <c r="D5">
        <v>20.139333333333333</v>
      </c>
      <c r="E5">
        <v>1697.3169683940732</v>
      </c>
      <c r="F5" s="69" t="s">
        <v>5</v>
      </c>
      <c r="G5">
        <v>20.428534558235139</v>
      </c>
      <c r="H5">
        <v>671.3356666666665</v>
      </c>
      <c r="I5" s="7">
        <f>Alice_Master_Analysis[[#This Row],[Payload]]*val_yield_rate</f>
        <v>3818.9631788866645</v>
      </c>
      <c r="J5" s="7">
        <f>Alice_Master_Analysis[[#This Row],[Net_kWh_used]]*val_elec_rate</f>
        <v>120.84041999999997</v>
      </c>
      <c r="K5" s="7">
        <f>(Alice_Master_Analysis[[#This Row],[Net_kWh_used]]/850)*(val_battery_cost/val_cycle)</f>
        <v>184.28822222222217</v>
      </c>
      <c r="L5" s="7">
        <f>Alice_Master_Analysis[[#This Row],[Energy Cost]]+Alice_Master_Analysis[[#This Row],[Battery Depreciation]]+val_ground_ops</f>
        <v>1505.1286422222222</v>
      </c>
      <c r="M5" s="7">
        <f>Alice_Master_Analysis[[#This Row],[Sortie Revenue]]-Alice_Master_Analysis[[#This Row],[Total OpEx per Sortie]]</f>
        <v>2313.8345366644426</v>
      </c>
      <c r="N5" s="70">
        <f>Alice_Master_Analysis[[#This Row],[Net Profit]]/Alice_Master_Analysis[[#This Row],[Sortie Revenue]]</f>
        <v>0.60588029480268268</v>
      </c>
    </row>
    <row r="6" spans="1:14" x14ac:dyDescent="0.2">
      <c r="A6" s="69" t="s">
        <v>7</v>
      </c>
      <c r="B6">
        <v>61</v>
      </c>
      <c r="C6">
        <v>99.141000000000005</v>
      </c>
      <c r="D6">
        <v>20.021666666666665</v>
      </c>
      <c r="E6">
        <v>812.03728088487298</v>
      </c>
      <c r="F6" s="69" t="s">
        <v>2</v>
      </c>
      <c r="G6">
        <v>40.378323696304648</v>
      </c>
      <c r="H6">
        <v>672.51433333333341</v>
      </c>
      <c r="I6" s="7">
        <f>Alice_Master_Analysis[[#This Row],[Payload]]*val_yield_rate</f>
        <v>1827.0838819909643</v>
      </c>
      <c r="J6" s="7">
        <f>Alice_Master_Analysis[[#This Row],[Net_kWh_used]]*val_elec_rate</f>
        <v>121.05258000000001</v>
      </c>
      <c r="K6" s="7">
        <f>(Alice_Master_Analysis[[#This Row],[Net_kWh_used]]/850)*(val_battery_cost/val_cycle)</f>
        <v>184.6117777777778</v>
      </c>
      <c r="L6" s="7">
        <f>Alice_Master_Analysis[[#This Row],[Energy Cost]]+Alice_Master_Analysis[[#This Row],[Battery Depreciation]]+val_ground_ops</f>
        <v>1505.6643577777777</v>
      </c>
      <c r="M6" s="7">
        <f>Alice_Master_Analysis[[#This Row],[Sortie Revenue]]-Alice_Master_Analysis[[#This Row],[Total OpEx per Sortie]]</f>
        <v>321.41952421318661</v>
      </c>
      <c r="N6" s="70">
        <f>Alice_Master_Analysis[[#This Row],[Net Profit]]/Alice_Master_Analysis[[#This Row],[Sortie Revenue]]</f>
        <v>0.17591941310485282</v>
      </c>
    </row>
    <row r="7" spans="1:14" x14ac:dyDescent="0.2">
      <c r="A7" s="69" t="s">
        <v>8</v>
      </c>
      <c r="B7">
        <v>60</v>
      </c>
      <c r="C7">
        <v>99.134333333333345</v>
      </c>
      <c r="D7">
        <v>20.521666666666665</v>
      </c>
      <c r="E7">
        <v>811.98904067240528</v>
      </c>
      <c r="F7" s="69" t="s">
        <v>5</v>
      </c>
      <c r="G7">
        <v>7.4646114574437474</v>
      </c>
      <c r="H7">
        <v>668.2076666666668</v>
      </c>
      <c r="I7" s="7">
        <f>Alice_Master_Analysis[[#This Row],[Payload]]*val_yield_rate</f>
        <v>1826.9753415129119</v>
      </c>
      <c r="J7" s="7">
        <f>Alice_Master_Analysis[[#This Row],[Net_kWh_used]]*val_elec_rate</f>
        <v>120.27738000000002</v>
      </c>
      <c r="K7" s="7">
        <f>(Alice_Master_Analysis[[#This Row],[Net_kWh_used]]/850)*(val_battery_cost/val_cycle)</f>
        <v>183.42955555555559</v>
      </c>
      <c r="L7" s="7">
        <f>Alice_Master_Analysis[[#This Row],[Energy Cost]]+Alice_Master_Analysis[[#This Row],[Battery Depreciation]]+val_ground_ops</f>
        <v>1503.7069355555557</v>
      </c>
      <c r="M7" s="7">
        <f>Alice_Master_Analysis[[#This Row],[Sortie Revenue]]-Alice_Master_Analysis[[#This Row],[Total OpEx per Sortie]]</f>
        <v>323.26840595735621</v>
      </c>
      <c r="N7" s="70">
        <f>Alice_Master_Analysis[[#This Row],[Net Profit]]/Alice_Master_Analysis[[#This Row],[Sortie Revenue]]</f>
        <v>0.17694185499496604</v>
      </c>
    </row>
    <row r="8" spans="1:14" x14ac:dyDescent="0.2">
      <c r="A8" s="69" t="s">
        <v>9</v>
      </c>
      <c r="B8">
        <v>64</v>
      </c>
      <c r="C8">
        <v>99.171166666666679</v>
      </c>
      <c r="D8">
        <v>20.089333333333332</v>
      </c>
      <c r="E8">
        <v>616.16722433639893</v>
      </c>
      <c r="F8" s="69" t="s">
        <v>5</v>
      </c>
      <c r="G8">
        <v>15.519146151781486</v>
      </c>
      <c r="H8">
        <v>672.1955833333335</v>
      </c>
      <c r="I8" s="7">
        <f>Alice_Master_Analysis[[#This Row],[Payload]]*val_yield_rate</f>
        <v>1386.3762547568977</v>
      </c>
      <c r="J8" s="7">
        <f>Alice_Master_Analysis[[#This Row],[Net_kWh_used]]*val_elec_rate</f>
        <v>120.99520500000003</v>
      </c>
      <c r="K8" s="7">
        <f>(Alice_Master_Analysis[[#This Row],[Net_kWh_used]]/850)*(val_battery_cost/val_cycle)</f>
        <v>184.52427777777783</v>
      </c>
      <c r="L8" s="7">
        <f>Alice_Master_Analysis[[#This Row],[Energy Cost]]+Alice_Master_Analysis[[#This Row],[Battery Depreciation]]+val_ground_ops</f>
        <v>1505.5194827777777</v>
      </c>
      <c r="M8" s="7">
        <f>Alice_Master_Analysis[[#This Row],[Sortie Revenue]]-Alice_Master_Analysis[[#This Row],[Total OpEx per Sortie]]</f>
        <v>-119.14322802088009</v>
      </c>
      <c r="N8" s="70">
        <f>Alice_Master_Analysis[[#This Row],[Net Profit]]/Alice_Master_Analysis[[#This Row],[Sortie Revenue]]</f>
        <v>-8.5938595393623474E-2</v>
      </c>
    </row>
    <row r="9" spans="1:14" x14ac:dyDescent="0.2">
      <c r="A9" s="69" t="s">
        <v>10</v>
      </c>
      <c r="B9">
        <v>55</v>
      </c>
      <c r="C9">
        <v>99.078333333333333</v>
      </c>
      <c r="D9">
        <v>20.835666666666668</v>
      </c>
      <c r="E9">
        <v>2232.3522915498702</v>
      </c>
      <c r="F9" s="69" t="s">
        <v>2</v>
      </c>
      <c r="G9">
        <v>32.777556927152432</v>
      </c>
      <c r="H9">
        <v>665.0626666666667</v>
      </c>
      <c r="I9" s="7">
        <f>Alice_Master_Analysis[[#This Row],[Payload]]*val_yield_rate</f>
        <v>5022.7926559872076</v>
      </c>
      <c r="J9" s="7">
        <f>Alice_Master_Analysis[[#This Row],[Net_kWh_used]]*val_elec_rate</f>
        <v>119.71128</v>
      </c>
      <c r="K9" s="7">
        <f>(Alice_Master_Analysis[[#This Row],[Net_kWh_used]]/850)*(val_battery_cost/val_cycle)</f>
        <v>182.56622222222225</v>
      </c>
      <c r="L9" s="7">
        <f>Alice_Master_Analysis[[#This Row],[Energy Cost]]+Alice_Master_Analysis[[#This Row],[Battery Depreciation]]+val_ground_ops</f>
        <v>1502.2775022222222</v>
      </c>
      <c r="M9" s="7">
        <f>Alice_Master_Analysis[[#This Row],[Sortie Revenue]]-Alice_Master_Analysis[[#This Row],[Total OpEx per Sortie]]</f>
        <v>3520.5151537649854</v>
      </c>
      <c r="N9" s="70">
        <f>Alice_Master_Analysis[[#This Row],[Net Profit]]/Alice_Master_Analysis[[#This Row],[Sortie Revenue]]</f>
        <v>0.700907920132539</v>
      </c>
    </row>
    <row r="10" spans="1:14" x14ac:dyDescent="0.2">
      <c r="A10" s="69" t="s">
        <v>11</v>
      </c>
      <c r="B10">
        <v>55</v>
      </c>
      <c r="C10">
        <v>99.077666666666659</v>
      </c>
      <c r="D10">
        <v>20.776666666666664</v>
      </c>
      <c r="E10">
        <v>1702.2300234864176</v>
      </c>
      <c r="F10" s="69" t="s">
        <v>2</v>
      </c>
      <c r="G10">
        <v>6.4399082745811231</v>
      </c>
      <c r="H10">
        <v>665.55849999999987</v>
      </c>
      <c r="I10" s="7">
        <f>Alice_Master_Analysis[[#This Row],[Payload]]*val_yield_rate</f>
        <v>3830.0175528444397</v>
      </c>
      <c r="J10" s="7">
        <f>Alice_Master_Analysis[[#This Row],[Net_kWh_used]]*val_elec_rate</f>
        <v>119.80052999999997</v>
      </c>
      <c r="K10" s="7">
        <f>(Alice_Master_Analysis[[#This Row],[Net_kWh_used]]/850)*(val_battery_cost/val_cycle)</f>
        <v>182.70233333333331</v>
      </c>
      <c r="L10" s="7">
        <f>Alice_Master_Analysis[[#This Row],[Energy Cost]]+Alice_Master_Analysis[[#This Row],[Battery Depreciation]]+val_ground_ops</f>
        <v>1502.5028633333332</v>
      </c>
      <c r="M10" s="7">
        <f>Alice_Master_Analysis[[#This Row],[Sortie Revenue]]-Alice_Master_Analysis[[#This Row],[Total OpEx per Sortie]]</f>
        <v>2327.5146895111066</v>
      </c>
      <c r="N10" s="70">
        <f>Alice_Master_Analysis[[#This Row],[Net Profit]]/Alice_Master_Analysis[[#This Row],[Sortie Revenue]]</f>
        <v>0.60770340015348778</v>
      </c>
    </row>
    <row r="11" spans="1:14" x14ac:dyDescent="0.2">
      <c r="A11" s="69" t="s">
        <v>12</v>
      </c>
      <c r="B11">
        <v>52</v>
      </c>
      <c r="C11">
        <v>99.040833333333325</v>
      </c>
      <c r="D11">
        <v>21.295500000000001</v>
      </c>
      <c r="E11">
        <v>1916.145155592091</v>
      </c>
      <c r="F11" s="69" t="s">
        <v>2</v>
      </c>
      <c r="G11">
        <v>-1.1510045085603504</v>
      </c>
      <c r="H11">
        <v>660.83533333333321</v>
      </c>
      <c r="I11" s="7">
        <f>Alice_Master_Analysis[[#This Row],[Payload]]*val_yield_rate</f>
        <v>4311.326600082205</v>
      </c>
      <c r="J11" s="7">
        <f>Alice_Master_Analysis[[#This Row],[Net_kWh_used]]*val_elec_rate</f>
        <v>118.95035999999998</v>
      </c>
      <c r="K11" s="7">
        <f>(Alice_Master_Analysis[[#This Row],[Net_kWh_used]]/850)*(val_battery_cost/val_cycle)</f>
        <v>181.40577777777776</v>
      </c>
      <c r="L11" s="7">
        <f>Alice_Master_Analysis[[#This Row],[Energy Cost]]+Alice_Master_Analysis[[#This Row],[Battery Depreciation]]+val_ground_ops</f>
        <v>1500.3561377777778</v>
      </c>
      <c r="M11" s="7">
        <f>Alice_Master_Analysis[[#This Row],[Sortie Revenue]]-Alice_Master_Analysis[[#This Row],[Total OpEx per Sortie]]</f>
        <v>2810.9704623044272</v>
      </c>
      <c r="N11" s="70">
        <f>Alice_Master_Analysis[[#This Row],[Net Profit]]/Alice_Master_Analysis[[#This Row],[Sortie Revenue]]</f>
        <v>0.65199664118483391</v>
      </c>
    </row>
    <row r="12" spans="1:14" x14ac:dyDescent="0.2">
      <c r="A12" s="69" t="s">
        <v>13</v>
      </c>
      <c r="B12">
        <v>62</v>
      </c>
      <c r="C12">
        <v>99.156999999999996</v>
      </c>
      <c r="D12">
        <v>20.701833333333333</v>
      </c>
      <c r="E12">
        <v>541.16898859160494</v>
      </c>
      <c r="F12" s="69" t="s">
        <v>2</v>
      </c>
      <c r="G12">
        <v>9.4875726456884006</v>
      </c>
      <c r="H12">
        <v>666.86891666666656</v>
      </c>
      <c r="I12" s="7">
        <f>Alice_Master_Analysis[[#This Row],[Payload]]*val_yield_rate</f>
        <v>1217.6302243311111</v>
      </c>
      <c r="J12" s="7">
        <f>Alice_Master_Analysis[[#This Row],[Net_kWh_used]]*val_elec_rate</f>
        <v>120.03640499999997</v>
      </c>
      <c r="K12" s="7">
        <f>(Alice_Master_Analysis[[#This Row],[Net_kWh_used]]/850)*(val_battery_cost/val_cycle)</f>
        <v>183.06205555555553</v>
      </c>
      <c r="L12" s="7">
        <f>Alice_Master_Analysis[[#This Row],[Energy Cost]]+Alice_Master_Analysis[[#This Row],[Battery Depreciation]]+val_ground_ops</f>
        <v>1503.0984605555554</v>
      </c>
      <c r="M12" s="7">
        <f>Alice_Master_Analysis[[#This Row],[Sortie Revenue]]-Alice_Master_Analysis[[#This Row],[Total OpEx per Sortie]]</f>
        <v>-285.46823622444435</v>
      </c>
      <c r="N12" s="70">
        <f>Alice_Master_Analysis[[#This Row],[Net Profit]]/Alice_Master_Analysis[[#This Row],[Sortie Revenue]]</f>
        <v>-0.23444575415435545</v>
      </c>
    </row>
    <row r="13" spans="1:14" x14ac:dyDescent="0.2">
      <c r="A13" s="69" t="s">
        <v>14</v>
      </c>
      <c r="B13">
        <v>51</v>
      </c>
      <c r="C13">
        <v>99.021833333333333</v>
      </c>
      <c r="D13">
        <v>20.864833333333333</v>
      </c>
      <c r="E13">
        <v>2439.8197043239888</v>
      </c>
      <c r="F13" s="69" t="s">
        <v>2</v>
      </c>
      <c r="G13">
        <v>3.061064362700221</v>
      </c>
      <c r="H13">
        <v>664.33449999999993</v>
      </c>
      <c r="I13" s="7">
        <f>Alice_Master_Analysis[[#This Row],[Payload]]*val_yield_rate</f>
        <v>5489.5943347289749</v>
      </c>
      <c r="J13" s="7">
        <f>Alice_Master_Analysis[[#This Row],[Net_kWh_used]]*val_elec_rate</f>
        <v>119.58020999999998</v>
      </c>
      <c r="K13" s="7">
        <f>(Alice_Master_Analysis[[#This Row],[Net_kWh_used]]/850)*(val_battery_cost/val_cycle)</f>
        <v>182.3663333333333</v>
      </c>
      <c r="L13" s="7">
        <f>Alice_Master_Analysis[[#This Row],[Energy Cost]]+Alice_Master_Analysis[[#This Row],[Battery Depreciation]]+val_ground_ops</f>
        <v>1501.9465433333332</v>
      </c>
      <c r="M13" s="7">
        <f>Alice_Master_Analysis[[#This Row],[Sortie Revenue]]-Alice_Master_Analysis[[#This Row],[Total OpEx per Sortie]]</f>
        <v>3987.6477913956414</v>
      </c>
      <c r="N13" s="70">
        <f>Alice_Master_Analysis[[#This Row],[Net Profit]]/Alice_Master_Analysis[[#This Row],[Sortie Revenue]]</f>
        <v>0.72640117798294734</v>
      </c>
    </row>
    <row r="14" spans="1:14" x14ac:dyDescent="0.2">
      <c r="A14" s="69" t="s">
        <v>15</v>
      </c>
      <c r="B14">
        <v>53</v>
      </c>
      <c r="C14">
        <v>99.055333333333323</v>
      </c>
      <c r="D14">
        <v>21.306166666666666</v>
      </c>
      <c r="E14">
        <v>2164.885281600843</v>
      </c>
      <c r="F14" s="69" t="s">
        <v>2</v>
      </c>
      <c r="G14">
        <v>41.484882617128655</v>
      </c>
      <c r="H14">
        <v>660.86791666666659</v>
      </c>
      <c r="I14" s="7">
        <f>Alice_Master_Analysis[[#This Row],[Payload]]*val_yield_rate</f>
        <v>4870.9918836018969</v>
      </c>
      <c r="J14" s="7">
        <f>Alice_Master_Analysis[[#This Row],[Net_kWh_used]]*val_elec_rate</f>
        <v>118.95622499999998</v>
      </c>
      <c r="K14" s="7">
        <f>(Alice_Master_Analysis[[#This Row],[Net_kWh_used]]/850)*(val_battery_cost/val_cycle)</f>
        <v>181.4147222222222</v>
      </c>
      <c r="L14" s="7">
        <f>Alice_Master_Analysis[[#This Row],[Energy Cost]]+Alice_Master_Analysis[[#This Row],[Battery Depreciation]]+val_ground_ops</f>
        <v>1500.3709472222222</v>
      </c>
      <c r="M14" s="7">
        <f>Alice_Master_Analysis[[#This Row],[Sortie Revenue]]-Alice_Master_Analysis[[#This Row],[Total OpEx per Sortie]]</f>
        <v>3370.6209363796747</v>
      </c>
      <c r="N14" s="70">
        <f>Alice_Master_Analysis[[#This Row],[Net Profit]]/Alice_Master_Analysis[[#This Row],[Sortie Revenue]]</f>
        <v>0.69197835203273628</v>
      </c>
    </row>
    <row r="15" spans="1:14" x14ac:dyDescent="0.2">
      <c r="A15" s="69" t="s">
        <v>16</v>
      </c>
      <c r="B15">
        <v>61</v>
      </c>
      <c r="C15">
        <v>99.149166666666659</v>
      </c>
      <c r="D15">
        <v>21.009</v>
      </c>
      <c r="E15">
        <v>924.6782213565524</v>
      </c>
      <c r="F15" s="69" t="s">
        <v>2</v>
      </c>
      <c r="G15">
        <v>35.40601897822085</v>
      </c>
      <c r="H15">
        <v>664.19141666666656</v>
      </c>
      <c r="I15" s="7">
        <f>Alice_Master_Analysis[[#This Row],[Payload]]*val_yield_rate</f>
        <v>2080.5259980522428</v>
      </c>
      <c r="J15" s="7">
        <f>Alice_Master_Analysis[[#This Row],[Net_kWh_used]]*val_elec_rate</f>
        <v>119.55445499999998</v>
      </c>
      <c r="K15" s="7">
        <f>(Alice_Master_Analysis[[#This Row],[Net_kWh_used]]/850)*(val_battery_cost/val_cycle)</f>
        <v>182.32705555555555</v>
      </c>
      <c r="L15" s="7">
        <f>Alice_Master_Analysis[[#This Row],[Energy Cost]]+Alice_Master_Analysis[[#This Row],[Battery Depreciation]]+val_ground_ops</f>
        <v>1501.8815105555555</v>
      </c>
      <c r="M15" s="7">
        <f>Alice_Master_Analysis[[#This Row],[Sortie Revenue]]-Alice_Master_Analysis[[#This Row],[Total OpEx per Sortie]]</f>
        <v>578.64448749668736</v>
      </c>
      <c r="N15" s="70">
        <f>Alice_Master_Analysis[[#This Row],[Net Profit]]/Alice_Master_Analysis[[#This Row],[Sortie Revenue]]</f>
        <v>0.27812413208890713</v>
      </c>
    </row>
    <row r="16" spans="1:14" x14ac:dyDescent="0.2">
      <c r="A16" s="69" t="s">
        <v>17</v>
      </c>
      <c r="B16">
        <v>65</v>
      </c>
      <c r="C16">
        <v>99.179666666666662</v>
      </c>
      <c r="D16">
        <v>20.555</v>
      </c>
      <c r="E16">
        <v>863.6499344142012</v>
      </c>
      <c r="F16" s="69" t="s">
        <v>2</v>
      </c>
      <c r="G16">
        <v>26.670187825521172</v>
      </c>
      <c r="H16">
        <v>668.30966666666654</v>
      </c>
      <c r="I16" s="7">
        <f>Alice_Master_Analysis[[#This Row],[Payload]]*val_yield_rate</f>
        <v>1943.2123524319527</v>
      </c>
      <c r="J16" s="7">
        <f>Alice_Master_Analysis[[#This Row],[Net_kWh_used]]*val_elec_rate</f>
        <v>120.29573999999997</v>
      </c>
      <c r="K16" s="7">
        <f>(Alice_Master_Analysis[[#This Row],[Net_kWh_used]]/850)*(val_battery_cost/val_cycle)</f>
        <v>183.45755555555553</v>
      </c>
      <c r="L16" s="7">
        <f>Alice_Master_Analysis[[#This Row],[Energy Cost]]+Alice_Master_Analysis[[#This Row],[Battery Depreciation]]+val_ground_ops</f>
        <v>1503.7532955555555</v>
      </c>
      <c r="M16" s="7">
        <f>Alice_Master_Analysis[[#This Row],[Sortie Revenue]]-Alice_Master_Analysis[[#This Row],[Total OpEx per Sortie]]</f>
        <v>439.4590568763972</v>
      </c>
      <c r="N16" s="70">
        <f>Alice_Master_Analysis[[#This Row],[Net Profit]]/Alice_Master_Analysis[[#This Row],[Sortie Revenue]]</f>
        <v>0.2261508148228932</v>
      </c>
    </row>
    <row r="17" spans="1:14" x14ac:dyDescent="0.2">
      <c r="A17" s="69" t="s">
        <v>18</v>
      </c>
      <c r="B17">
        <v>61</v>
      </c>
      <c r="C17">
        <v>99.143000000000001</v>
      </c>
      <c r="D17">
        <v>20.279499999999999</v>
      </c>
      <c r="E17">
        <v>866.80901970686762</v>
      </c>
      <c r="F17" s="69" t="s">
        <v>5</v>
      </c>
      <c r="G17">
        <v>38.573029509385883</v>
      </c>
      <c r="H17">
        <v>670.33974999999998</v>
      </c>
      <c r="I17" s="7">
        <f>Alice_Master_Analysis[[#This Row],[Payload]]*val_yield_rate</f>
        <v>1950.3202943404522</v>
      </c>
      <c r="J17" s="7">
        <f>Alice_Master_Analysis[[#This Row],[Net_kWh_used]]*val_elec_rate</f>
        <v>120.66115499999999</v>
      </c>
      <c r="K17" s="7">
        <f>(Alice_Master_Analysis[[#This Row],[Net_kWh_used]]/850)*(val_battery_cost/val_cycle)</f>
        <v>184.01483333333334</v>
      </c>
      <c r="L17" s="7">
        <f>Alice_Master_Analysis[[#This Row],[Energy Cost]]+Alice_Master_Analysis[[#This Row],[Battery Depreciation]]+val_ground_ops</f>
        <v>1504.6759883333334</v>
      </c>
      <c r="M17" s="7">
        <f>Alice_Master_Analysis[[#This Row],[Sortie Revenue]]-Alice_Master_Analysis[[#This Row],[Total OpEx per Sortie]]</f>
        <v>445.64430600711876</v>
      </c>
      <c r="N17" s="70">
        <f>Alice_Master_Analysis[[#This Row],[Net Profit]]/Alice_Master_Analysis[[#This Row],[Sortie Revenue]]</f>
        <v>0.22849800994242545</v>
      </c>
    </row>
    <row r="18" spans="1:14" x14ac:dyDescent="0.2">
      <c r="A18" s="69" t="s">
        <v>19</v>
      </c>
      <c r="B18">
        <v>60</v>
      </c>
      <c r="C18">
        <v>99.138833333333338</v>
      </c>
      <c r="D18">
        <v>21.029166666666665</v>
      </c>
      <c r="E18">
        <v>1108.4844859190755</v>
      </c>
      <c r="F18" s="69" t="s">
        <v>2</v>
      </c>
      <c r="G18">
        <v>35.183603844955726</v>
      </c>
      <c r="H18">
        <v>663.93216666666672</v>
      </c>
      <c r="I18" s="7">
        <f>Alice_Master_Analysis[[#This Row],[Payload]]*val_yield_rate</f>
        <v>2494.09009331792</v>
      </c>
      <c r="J18" s="7">
        <f>Alice_Master_Analysis[[#This Row],[Net_kWh_used]]*val_elec_rate</f>
        <v>119.50779</v>
      </c>
      <c r="K18" s="7">
        <f>(Alice_Master_Analysis[[#This Row],[Net_kWh_used]]/850)*(val_battery_cost/val_cycle)</f>
        <v>182.25588888888893</v>
      </c>
      <c r="L18" s="7">
        <f>Alice_Master_Analysis[[#This Row],[Energy Cost]]+Alice_Master_Analysis[[#This Row],[Battery Depreciation]]+val_ground_ops</f>
        <v>1501.763678888889</v>
      </c>
      <c r="M18" s="7">
        <f>Alice_Master_Analysis[[#This Row],[Sortie Revenue]]-Alice_Master_Analysis[[#This Row],[Total OpEx per Sortie]]</f>
        <v>992.32641442903105</v>
      </c>
      <c r="N18" s="70">
        <f>Alice_Master_Analysis[[#This Row],[Net Profit]]/Alice_Master_Analysis[[#This Row],[Sortie Revenue]]</f>
        <v>0.39787111824373855</v>
      </c>
    </row>
    <row r="19" spans="1:14" x14ac:dyDescent="0.2">
      <c r="A19" s="69" t="s">
        <v>20</v>
      </c>
      <c r="B19">
        <v>55</v>
      </c>
      <c r="C19">
        <v>99.08</v>
      </c>
      <c r="D19">
        <v>21.084999999999997</v>
      </c>
      <c r="E19">
        <v>1549.5128632644758</v>
      </c>
      <c r="F19" s="69" t="s">
        <v>2</v>
      </c>
      <c r="G19">
        <v>4.3285029443017917</v>
      </c>
      <c r="H19">
        <v>662.95749999999998</v>
      </c>
      <c r="I19" s="7">
        <f>Alice_Master_Analysis[[#This Row],[Payload]]*val_yield_rate</f>
        <v>3486.4039423450704</v>
      </c>
      <c r="J19" s="7">
        <f>Alice_Master_Analysis[[#This Row],[Net_kWh_used]]*val_elec_rate</f>
        <v>119.33234999999999</v>
      </c>
      <c r="K19" s="7">
        <f>(Alice_Master_Analysis[[#This Row],[Net_kWh_used]]/850)*(val_battery_cost/val_cycle)</f>
        <v>181.98833333333334</v>
      </c>
      <c r="L19" s="7">
        <f>Alice_Master_Analysis[[#This Row],[Energy Cost]]+Alice_Master_Analysis[[#This Row],[Battery Depreciation]]+val_ground_ops</f>
        <v>1501.3206833333334</v>
      </c>
      <c r="M19" s="7">
        <f>Alice_Master_Analysis[[#This Row],[Sortie Revenue]]-Alice_Master_Analysis[[#This Row],[Total OpEx per Sortie]]</f>
        <v>1985.083259011737</v>
      </c>
      <c r="N19" s="70">
        <f>Alice_Master_Analysis[[#This Row],[Net Profit]]/Alice_Master_Analysis[[#This Row],[Sortie Revenue]]</f>
        <v>0.56937844605479204</v>
      </c>
    </row>
    <row r="20" spans="1:14" x14ac:dyDescent="0.2">
      <c r="A20" s="69" t="s">
        <v>21</v>
      </c>
      <c r="B20">
        <v>58</v>
      </c>
      <c r="C20">
        <v>99.109666666666669</v>
      </c>
      <c r="D20">
        <v>20.281500000000001</v>
      </c>
      <c r="E20">
        <v>1363.8900372842315</v>
      </c>
      <c r="F20" s="69" t="s">
        <v>2</v>
      </c>
      <c r="G20">
        <v>39.627949924498886</v>
      </c>
      <c r="H20">
        <v>670.03941666666674</v>
      </c>
      <c r="I20" s="7">
        <f>Alice_Master_Analysis[[#This Row],[Payload]]*val_yield_rate</f>
        <v>3068.7525838895208</v>
      </c>
      <c r="J20" s="7">
        <f>Alice_Master_Analysis[[#This Row],[Net_kWh_used]]*val_elec_rate</f>
        <v>120.60709500000002</v>
      </c>
      <c r="K20" s="7">
        <f>(Alice_Master_Analysis[[#This Row],[Net_kWh_used]]/850)*(val_battery_cost/val_cycle)</f>
        <v>183.93238888888891</v>
      </c>
      <c r="L20" s="7">
        <f>Alice_Master_Analysis[[#This Row],[Energy Cost]]+Alice_Master_Analysis[[#This Row],[Battery Depreciation]]+val_ground_ops</f>
        <v>1504.539483888889</v>
      </c>
      <c r="M20" s="7">
        <f>Alice_Master_Analysis[[#This Row],[Sortie Revenue]]-Alice_Master_Analysis[[#This Row],[Total OpEx per Sortie]]</f>
        <v>1564.2131000006318</v>
      </c>
      <c r="N20" s="70">
        <f>Alice_Master_Analysis[[#This Row],[Net Profit]]/Alice_Master_Analysis[[#This Row],[Sortie Revenue]]</f>
        <v>0.50972278058925635</v>
      </c>
    </row>
    <row r="21" spans="1:14" x14ac:dyDescent="0.2">
      <c r="A21" s="69" t="s">
        <v>22</v>
      </c>
      <c r="B21">
        <v>63</v>
      </c>
      <c r="C21">
        <v>99.162499999999994</v>
      </c>
      <c r="D21">
        <v>20.083833333333335</v>
      </c>
      <c r="E21">
        <v>1082.4582803960841</v>
      </c>
      <c r="F21" s="69" t="s">
        <v>5</v>
      </c>
      <c r="G21">
        <v>21.967112095782536</v>
      </c>
      <c r="H21">
        <v>672.1686666666667</v>
      </c>
      <c r="I21" s="7">
        <f>Alice_Master_Analysis[[#This Row],[Payload]]*val_yield_rate</f>
        <v>2435.5311308911892</v>
      </c>
      <c r="J21" s="7">
        <f>Alice_Master_Analysis[[#This Row],[Net_kWh_used]]*val_elec_rate</f>
        <v>120.99036</v>
      </c>
      <c r="K21" s="7">
        <f>(Alice_Master_Analysis[[#This Row],[Net_kWh_used]]/850)*(val_battery_cost/val_cycle)</f>
        <v>184.51688888888893</v>
      </c>
      <c r="L21" s="7">
        <f>Alice_Master_Analysis[[#This Row],[Energy Cost]]+Alice_Master_Analysis[[#This Row],[Battery Depreciation]]+val_ground_ops</f>
        <v>1505.5072488888889</v>
      </c>
      <c r="M21" s="7">
        <f>Alice_Master_Analysis[[#This Row],[Sortie Revenue]]-Alice_Master_Analysis[[#This Row],[Total OpEx per Sortie]]</f>
        <v>930.0238820023003</v>
      </c>
      <c r="N21" s="70">
        <f>Alice_Master_Analysis[[#This Row],[Net Profit]]/Alice_Master_Analysis[[#This Row],[Sortie Revenue]]</f>
        <v>0.38185670066224681</v>
      </c>
    </row>
    <row r="22" spans="1:14" x14ac:dyDescent="0.2">
      <c r="A22" s="69" t="s">
        <v>23</v>
      </c>
      <c r="B22">
        <v>57</v>
      </c>
      <c r="C22">
        <v>99.100666666666669</v>
      </c>
      <c r="D22">
        <v>20.615333333333336</v>
      </c>
      <c r="E22">
        <v>1723.7057894447589</v>
      </c>
      <c r="F22" s="69" t="s">
        <v>2</v>
      </c>
      <c r="G22">
        <v>35.372007758203125</v>
      </c>
      <c r="H22">
        <v>667.12533333333329</v>
      </c>
      <c r="I22" s="7">
        <f>Alice_Master_Analysis[[#This Row],[Payload]]*val_yield_rate</f>
        <v>3878.3380262507076</v>
      </c>
      <c r="J22" s="7">
        <f>Alice_Master_Analysis[[#This Row],[Net_kWh_used]]*val_elec_rate</f>
        <v>120.08255999999999</v>
      </c>
      <c r="K22" s="7">
        <f>(Alice_Master_Analysis[[#This Row],[Net_kWh_used]]/850)*(val_battery_cost/val_cycle)</f>
        <v>183.13244444444445</v>
      </c>
      <c r="L22" s="7">
        <f>Alice_Master_Analysis[[#This Row],[Energy Cost]]+Alice_Master_Analysis[[#This Row],[Battery Depreciation]]+val_ground_ops</f>
        <v>1503.2150044444445</v>
      </c>
      <c r="M22" s="7">
        <f>Alice_Master_Analysis[[#This Row],[Sortie Revenue]]-Alice_Master_Analysis[[#This Row],[Total OpEx per Sortie]]</f>
        <v>2375.1230218062628</v>
      </c>
      <c r="N22" s="70">
        <f>Alice_Master_Analysis[[#This Row],[Net Profit]]/Alice_Master_Analysis[[#This Row],[Sortie Revenue]]</f>
        <v>0.61240742960776873</v>
      </c>
    </row>
    <row r="23" spans="1:14" x14ac:dyDescent="0.2">
      <c r="A23" s="69" t="s">
        <v>24</v>
      </c>
      <c r="B23">
        <v>61</v>
      </c>
      <c r="C23">
        <v>99.144833333333324</v>
      </c>
      <c r="D23">
        <v>20.470000000000002</v>
      </c>
      <c r="E23">
        <v>778.98772130408372</v>
      </c>
      <c r="F23" s="69" t="s">
        <v>5</v>
      </c>
      <c r="G23">
        <v>39.804564996174662</v>
      </c>
      <c r="H23">
        <v>668.73608333333323</v>
      </c>
      <c r="I23" s="7">
        <f>Alice_Master_Analysis[[#This Row],[Payload]]*val_yield_rate</f>
        <v>1752.7223729341883</v>
      </c>
      <c r="J23" s="7">
        <f>Alice_Master_Analysis[[#This Row],[Net_kWh_used]]*val_elec_rate</f>
        <v>120.37249499999997</v>
      </c>
      <c r="K23" s="7">
        <f>(Alice_Master_Analysis[[#This Row],[Net_kWh_used]]/850)*(val_battery_cost/val_cycle)</f>
        <v>183.57461111111107</v>
      </c>
      <c r="L23" s="7">
        <f>Alice_Master_Analysis[[#This Row],[Energy Cost]]+Alice_Master_Analysis[[#This Row],[Battery Depreciation]]+val_ground_ops</f>
        <v>1503.947106111111</v>
      </c>
      <c r="M23" s="7">
        <f>Alice_Master_Analysis[[#This Row],[Sortie Revenue]]-Alice_Master_Analysis[[#This Row],[Total OpEx per Sortie]]</f>
        <v>248.77526682307735</v>
      </c>
      <c r="N23" s="70">
        <f>Alice_Master_Analysis[[#This Row],[Net Profit]]/Alice_Master_Analysis[[#This Row],[Sortie Revenue]]</f>
        <v>0.14193649300351482</v>
      </c>
    </row>
    <row r="24" spans="1:14" x14ac:dyDescent="0.2">
      <c r="A24" s="69" t="s">
        <v>25</v>
      </c>
      <c r="B24">
        <v>59</v>
      </c>
      <c r="C24">
        <v>99.128500000000003</v>
      </c>
      <c r="D24">
        <v>21.098666666666666</v>
      </c>
      <c r="E24">
        <v>1084.2892970704363</v>
      </c>
      <c r="F24" s="69" t="s">
        <v>2</v>
      </c>
      <c r="G24">
        <v>10.900173748593192</v>
      </c>
      <c r="H24">
        <v>663.25358333333327</v>
      </c>
      <c r="I24" s="7">
        <f>Alice_Master_Analysis[[#This Row],[Payload]]*val_yield_rate</f>
        <v>2439.6509184084816</v>
      </c>
      <c r="J24" s="7">
        <f>Alice_Master_Analysis[[#This Row],[Net_kWh_used]]*val_elec_rate</f>
        <v>119.38564499999998</v>
      </c>
      <c r="K24" s="7">
        <f>(Alice_Master_Analysis[[#This Row],[Net_kWh_used]]/850)*(val_battery_cost/val_cycle)</f>
        <v>182.0696111111111</v>
      </c>
      <c r="L24" s="7">
        <f>Alice_Master_Analysis[[#This Row],[Energy Cost]]+Alice_Master_Analysis[[#This Row],[Battery Depreciation]]+val_ground_ops</f>
        <v>1501.4552561111111</v>
      </c>
      <c r="M24" s="7">
        <f>Alice_Master_Analysis[[#This Row],[Sortie Revenue]]-Alice_Master_Analysis[[#This Row],[Total OpEx per Sortie]]</f>
        <v>938.19566229737052</v>
      </c>
      <c r="N24" s="70">
        <f>Alice_Master_Analysis[[#This Row],[Net Profit]]/Alice_Master_Analysis[[#This Row],[Sortie Revenue]]</f>
        <v>0.38456143672776233</v>
      </c>
    </row>
    <row r="25" spans="1:14" x14ac:dyDescent="0.2">
      <c r="A25" s="69" t="s">
        <v>26</v>
      </c>
      <c r="B25">
        <v>56</v>
      </c>
      <c r="C25">
        <v>99.085333333333338</v>
      </c>
      <c r="D25">
        <v>20.53083333333333</v>
      </c>
      <c r="E25">
        <v>1232.7236865873831</v>
      </c>
      <c r="F25" s="69" t="s">
        <v>2</v>
      </c>
      <c r="G25">
        <v>0.50259622638383794</v>
      </c>
      <c r="H25">
        <v>667.71325000000002</v>
      </c>
      <c r="I25" s="7">
        <f>Alice_Master_Analysis[[#This Row],[Payload]]*val_yield_rate</f>
        <v>2773.6282948216121</v>
      </c>
      <c r="J25" s="7">
        <f>Alice_Master_Analysis[[#This Row],[Net_kWh_used]]*val_elec_rate</f>
        <v>120.188385</v>
      </c>
      <c r="K25" s="7">
        <f>(Alice_Master_Analysis[[#This Row],[Net_kWh_used]]/850)*(val_battery_cost/val_cycle)</f>
        <v>183.29383333333334</v>
      </c>
      <c r="L25" s="7">
        <f>Alice_Master_Analysis[[#This Row],[Energy Cost]]+Alice_Master_Analysis[[#This Row],[Battery Depreciation]]+val_ground_ops</f>
        <v>1503.4822183333333</v>
      </c>
      <c r="M25" s="7">
        <f>Alice_Master_Analysis[[#This Row],[Sortie Revenue]]-Alice_Master_Analysis[[#This Row],[Total OpEx per Sortie]]</f>
        <v>1270.1460764882788</v>
      </c>
      <c r="N25" s="70">
        <f>Alice_Master_Analysis[[#This Row],[Net Profit]]/Alice_Master_Analysis[[#This Row],[Sortie Revenue]]</f>
        <v>0.45793665966692526</v>
      </c>
    </row>
    <row r="26" spans="1:14" x14ac:dyDescent="0.2">
      <c r="A26" s="69" t="s">
        <v>27</v>
      </c>
      <c r="B26">
        <v>56</v>
      </c>
      <c r="C26">
        <v>99.094666666666669</v>
      </c>
      <c r="D26">
        <v>21.298999999999999</v>
      </c>
      <c r="E26">
        <v>1412.1399684340718</v>
      </c>
      <c r="F26" s="69" t="s">
        <v>5</v>
      </c>
      <c r="G26">
        <v>6.3967581270970841</v>
      </c>
      <c r="H26">
        <v>661.26316666666673</v>
      </c>
      <c r="I26" s="7">
        <f>Alice_Master_Analysis[[#This Row],[Payload]]*val_yield_rate</f>
        <v>3177.3149289766616</v>
      </c>
      <c r="J26" s="7">
        <f>Alice_Master_Analysis[[#This Row],[Net_kWh_used]]*val_elec_rate</f>
        <v>119.02737</v>
      </c>
      <c r="K26" s="7">
        <f>(Alice_Master_Analysis[[#This Row],[Net_kWh_used]]/850)*(val_battery_cost/val_cycle)</f>
        <v>181.52322222222224</v>
      </c>
      <c r="L26" s="7">
        <f>Alice_Master_Analysis[[#This Row],[Energy Cost]]+Alice_Master_Analysis[[#This Row],[Battery Depreciation]]+val_ground_ops</f>
        <v>1500.5505922222223</v>
      </c>
      <c r="M26" s="7">
        <f>Alice_Master_Analysis[[#This Row],[Sortie Revenue]]-Alice_Master_Analysis[[#This Row],[Total OpEx per Sortie]]</f>
        <v>1676.7643367544392</v>
      </c>
      <c r="N26" s="70">
        <f>Alice_Master_Analysis[[#This Row],[Net Profit]]/Alice_Master_Analysis[[#This Row],[Sortie Revenue]]</f>
        <v>0.52772997774397068</v>
      </c>
    </row>
    <row r="27" spans="1:14" x14ac:dyDescent="0.2">
      <c r="A27" s="69" t="s">
        <v>28</v>
      </c>
      <c r="B27">
        <v>56</v>
      </c>
      <c r="C27">
        <v>99.085000000000008</v>
      </c>
      <c r="D27">
        <v>20.230999999999998</v>
      </c>
      <c r="E27">
        <v>2070.351922786027</v>
      </c>
      <c r="F27" s="69" t="s">
        <v>5</v>
      </c>
      <c r="G27">
        <v>16.355389431312815</v>
      </c>
      <c r="H27">
        <v>670.25900000000013</v>
      </c>
      <c r="I27" s="7">
        <f>Alice_Master_Analysis[[#This Row],[Payload]]*val_yield_rate</f>
        <v>4658.2918262685607</v>
      </c>
      <c r="J27" s="7">
        <f>Alice_Master_Analysis[[#This Row],[Net_kWh_used]]*val_elec_rate</f>
        <v>120.64662000000001</v>
      </c>
      <c r="K27" s="7">
        <f>(Alice_Master_Analysis[[#This Row],[Net_kWh_used]]/850)*(val_battery_cost/val_cycle)</f>
        <v>183.99266666666671</v>
      </c>
      <c r="L27" s="7">
        <f>Alice_Master_Analysis[[#This Row],[Energy Cost]]+Alice_Master_Analysis[[#This Row],[Battery Depreciation]]+val_ground_ops</f>
        <v>1504.6392866666667</v>
      </c>
      <c r="M27" s="7">
        <f>Alice_Master_Analysis[[#This Row],[Sortie Revenue]]-Alice_Master_Analysis[[#This Row],[Total OpEx per Sortie]]</f>
        <v>3153.6525396018942</v>
      </c>
      <c r="N27" s="70">
        <f>Alice_Master_Analysis[[#This Row],[Net Profit]]/Alice_Master_Analysis[[#This Row],[Sortie Revenue]]</f>
        <v>0.67699763287008785</v>
      </c>
    </row>
    <row r="28" spans="1:14" x14ac:dyDescent="0.2">
      <c r="A28" s="69" t="s">
        <v>29</v>
      </c>
      <c r="B28">
        <v>61</v>
      </c>
      <c r="C28">
        <v>99.149333333333331</v>
      </c>
      <c r="D28">
        <v>21.013500000000001</v>
      </c>
      <c r="E28">
        <v>899.34756431671951</v>
      </c>
      <c r="F28" s="69" t="s">
        <v>2</v>
      </c>
      <c r="G28">
        <v>35.900738296124658</v>
      </c>
      <c r="H28">
        <v>664.15458333333322</v>
      </c>
      <c r="I28" s="7">
        <f>Alice_Master_Analysis[[#This Row],[Payload]]*val_yield_rate</f>
        <v>2023.5320197126189</v>
      </c>
      <c r="J28" s="7">
        <f>Alice_Master_Analysis[[#This Row],[Net_kWh_used]]*val_elec_rate</f>
        <v>119.54782499999997</v>
      </c>
      <c r="K28" s="7">
        <f>(Alice_Master_Analysis[[#This Row],[Net_kWh_used]]/850)*(val_battery_cost/val_cycle)</f>
        <v>182.3169444444444</v>
      </c>
      <c r="L28" s="7">
        <f>Alice_Master_Analysis[[#This Row],[Energy Cost]]+Alice_Master_Analysis[[#This Row],[Battery Depreciation]]+val_ground_ops</f>
        <v>1501.8647694444444</v>
      </c>
      <c r="M28" s="7">
        <f>Alice_Master_Analysis[[#This Row],[Sortie Revenue]]-Alice_Master_Analysis[[#This Row],[Total OpEx per Sortie]]</f>
        <v>521.66725026817448</v>
      </c>
      <c r="N28" s="70">
        <f>Alice_Master_Analysis[[#This Row],[Net Profit]]/Alice_Master_Analysis[[#This Row],[Sortie Revenue]]</f>
        <v>0.25780034374858146</v>
      </c>
    </row>
    <row r="29" spans="1:14" x14ac:dyDescent="0.2">
      <c r="A29" s="69" t="s">
        <v>30</v>
      </c>
      <c r="B29">
        <v>57</v>
      </c>
      <c r="C29">
        <v>99.104499999999987</v>
      </c>
      <c r="D29">
        <v>21.0365</v>
      </c>
      <c r="E29">
        <v>1528.4688768272233</v>
      </c>
      <c r="F29" s="69" t="s">
        <v>2</v>
      </c>
      <c r="G29">
        <v>38.036529162817175</v>
      </c>
      <c r="H29">
        <v>663.57799999999986</v>
      </c>
      <c r="I29" s="7">
        <f>Alice_Master_Analysis[[#This Row],[Payload]]*val_yield_rate</f>
        <v>3439.0549728612523</v>
      </c>
      <c r="J29" s="7">
        <f>Alice_Master_Analysis[[#This Row],[Net_kWh_used]]*val_elec_rate</f>
        <v>119.44403999999997</v>
      </c>
      <c r="K29" s="7">
        <f>(Alice_Master_Analysis[[#This Row],[Net_kWh_used]]/850)*(val_battery_cost/val_cycle)</f>
        <v>182.15866666666662</v>
      </c>
      <c r="L29" s="7">
        <f>Alice_Master_Analysis[[#This Row],[Energy Cost]]+Alice_Master_Analysis[[#This Row],[Battery Depreciation]]+val_ground_ops</f>
        <v>1501.6027066666666</v>
      </c>
      <c r="M29" s="7">
        <f>Alice_Master_Analysis[[#This Row],[Sortie Revenue]]-Alice_Master_Analysis[[#This Row],[Total OpEx per Sortie]]</f>
        <v>1937.4522661945857</v>
      </c>
      <c r="N29" s="70">
        <f>Alice_Master_Analysis[[#This Row],[Net Profit]]/Alice_Master_Analysis[[#This Row],[Sortie Revenue]]</f>
        <v>0.56336763485424857</v>
      </c>
    </row>
    <row r="30" spans="1:14" x14ac:dyDescent="0.2">
      <c r="A30" s="69" t="s">
        <v>31</v>
      </c>
      <c r="B30">
        <v>53</v>
      </c>
      <c r="C30">
        <v>99.044333333333327</v>
      </c>
      <c r="D30">
        <v>20.183</v>
      </c>
      <c r="E30">
        <v>1684.8291377240848</v>
      </c>
      <c r="F30" s="69" t="s">
        <v>5</v>
      </c>
      <c r="G30">
        <v>-4.6523934734404646</v>
      </c>
      <c r="H30">
        <v>670.32133333333331</v>
      </c>
      <c r="I30" s="7">
        <f>Alice_Master_Analysis[[#This Row],[Payload]]*val_yield_rate</f>
        <v>3790.8655598791911</v>
      </c>
      <c r="J30" s="7">
        <f>Alice_Master_Analysis[[#This Row],[Net_kWh_used]]*val_elec_rate</f>
        <v>120.65783999999999</v>
      </c>
      <c r="K30" s="7">
        <f>(Alice_Master_Analysis[[#This Row],[Net_kWh_used]]/850)*(val_battery_cost/val_cycle)</f>
        <v>184.00977777777777</v>
      </c>
      <c r="L30" s="7">
        <f>Alice_Master_Analysis[[#This Row],[Energy Cost]]+Alice_Master_Analysis[[#This Row],[Battery Depreciation]]+val_ground_ops</f>
        <v>1504.6676177777777</v>
      </c>
      <c r="M30" s="7">
        <f>Alice_Master_Analysis[[#This Row],[Sortie Revenue]]-Alice_Master_Analysis[[#This Row],[Total OpEx per Sortie]]</f>
        <v>2286.1979421014134</v>
      </c>
      <c r="N30" s="70">
        <f>Alice_Master_Analysis[[#This Row],[Net Profit]]/Alice_Master_Analysis[[#This Row],[Sortie Revenue]]</f>
        <v>0.60308072285588277</v>
      </c>
    </row>
    <row r="31" spans="1:14" x14ac:dyDescent="0.2">
      <c r="A31" s="69" t="s">
        <v>32</v>
      </c>
      <c r="B31">
        <v>67</v>
      </c>
      <c r="C31">
        <v>99.187333333333328</v>
      </c>
      <c r="D31">
        <v>20.413499999999999</v>
      </c>
      <c r="E31">
        <v>592.9008254399954</v>
      </c>
      <c r="F31" s="69" t="s">
        <v>5</v>
      </c>
      <c r="G31">
        <v>20.537365128878285</v>
      </c>
      <c r="H31">
        <v>669.57758333333334</v>
      </c>
      <c r="I31" s="7">
        <f>Alice_Master_Analysis[[#This Row],[Payload]]*val_yield_rate</f>
        <v>1334.0268572399896</v>
      </c>
      <c r="J31" s="7">
        <f>Alice_Master_Analysis[[#This Row],[Net_kWh_used]]*val_elec_rate</f>
        <v>120.52396499999999</v>
      </c>
      <c r="K31" s="7">
        <f>(Alice_Master_Analysis[[#This Row],[Net_kWh_used]]/850)*(val_battery_cost/val_cycle)</f>
        <v>183.80561111111112</v>
      </c>
      <c r="L31" s="7">
        <f>Alice_Master_Analysis[[#This Row],[Energy Cost]]+Alice_Master_Analysis[[#This Row],[Battery Depreciation]]+val_ground_ops</f>
        <v>1504.3295761111112</v>
      </c>
      <c r="M31" s="7">
        <f>Alice_Master_Analysis[[#This Row],[Sortie Revenue]]-Alice_Master_Analysis[[#This Row],[Total OpEx per Sortie]]</f>
        <v>-170.30271887112167</v>
      </c>
      <c r="N31" s="70">
        <f>Alice_Master_Analysis[[#This Row],[Net Profit]]/Alice_Master_Analysis[[#This Row],[Sortie Revenue]]</f>
        <v>-0.12766063737537217</v>
      </c>
    </row>
    <row r="32" spans="1:14" x14ac:dyDescent="0.2">
      <c r="A32" s="69" t="s">
        <v>33</v>
      </c>
      <c r="B32">
        <v>57</v>
      </c>
      <c r="C32">
        <v>99.105000000000004</v>
      </c>
      <c r="D32">
        <v>21.095666666666666</v>
      </c>
      <c r="E32">
        <v>1715.0897038028768</v>
      </c>
      <c r="F32" s="69" t="s">
        <v>2</v>
      </c>
      <c r="G32">
        <v>15.870550157438949</v>
      </c>
      <c r="H32">
        <v>663.07933333333335</v>
      </c>
      <c r="I32" s="7">
        <f>Alice_Master_Analysis[[#This Row],[Payload]]*val_yield_rate</f>
        <v>3858.9518335564726</v>
      </c>
      <c r="J32" s="7">
        <f>Alice_Master_Analysis[[#This Row],[Net_kWh_used]]*val_elec_rate</f>
        <v>119.35428</v>
      </c>
      <c r="K32" s="7">
        <f>(Alice_Master_Analysis[[#This Row],[Net_kWh_used]]/850)*(val_battery_cost/val_cycle)</f>
        <v>182.02177777777777</v>
      </c>
      <c r="L32" s="7">
        <f>Alice_Master_Analysis[[#This Row],[Energy Cost]]+Alice_Master_Analysis[[#This Row],[Battery Depreciation]]+val_ground_ops</f>
        <v>1501.3760577777778</v>
      </c>
      <c r="M32" s="7">
        <f>Alice_Master_Analysis[[#This Row],[Sortie Revenue]]-Alice_Master_Analysis[[#This Row],[Total OpEx per Sortie]]</f>
        <v>2357.5757757786951</v>
      </c>
      <c r="N32" s="70">
        <f>Alice_Master_Analysis[[#This Row],[Net Profit]]/Alice_Master_Analysis[[#This Row],[Sortie Revenue]]</f>
        <v>0.61093682364154178</v>
      </c>
    </row>
    <row r="33" spans="1:14" x14ac:dyDescent="0.2">
      <c r="A33" s="69" t="s">
        <v>34</v>
      </c>
      <c r="B33">
        <v>59</v>
      </c>
      <c r="C33">
        <v>99.128500000000003</v>
      </c>
      <c r="D33">
        <v>21.123000000000001</v>
      </c>
      <c r="E33">
        <v>841.04824737458307</v>
      </c>
      <c r="F33" s="69" t="s">
        <v>5</v>
      </c>
      <c r="G33">
        <v>6.1053905235365127</v>
      </c>
      <c r="H33">
        <v>663.04674999999997</v>
      </c>
      <c r="I33" s="7">
        <f>Alice_Master_Analysis[[#This Row],[Payload]]*val_yield_rate</f>
        <v>1892.358556592812</v>
      </c>
      <c r="J33" s="7">
        <f>Alice_Master_Analysis[[#This Row],[Net_kWh_used]]*val_elec_rate</f>
        <v>119.34841499999999</v>
      </c>
      <c r="K33" s="7">
        <f>(Alice_Master_Analysis[[#This Row],[Net_kWh_used]]/850)*(val_battery_cost/val_cycle)</f>
        <v>182.01283333333333</v>
      </c>
      <c r="L33" s="7">
        <f>Alice_Master_Analysis[[#This Row],[Energy Cost]]+Alice_Master_Analysis[[#This Row],[Battery Depreciation]]+val_ground_ops</f>
        <v>1501.3612483333334</v>
      </c>
      <c r="M33" s="7">
        <f>Alice_Master_Analysis[[#This Row],[Sortie Revenue]]-Alice_Master_Analysis[[#This Row],[Total OpEx per Sortie]]</f>
        <v>390.99730825947859</v>
      </c>
      <c r="N33" s="70">
        <f>Alice_Master_Analysis[[#This Row],[Net Profit]]/Alice_Master_Analysis[[#This Row],[Sortie Revenue]]</f>
        <v>0.20661903997911923</v>
      </c>
    </row>
    <row r="34" spans="1:14" x14ac:dyDescent="0.2">
      <c r="A34" s="69" t="s">
        <v>35</v>
      </c>
      <c r="B34">
        <v>59</v>
      </c>
      <c r="C34">
        <v>99.12566666666666</v>
      </c>
      <c r="D34">
        <v>20.81</v>
      </c>
      <c r="E34">
        <v>630.10318597055903</v>
      </c>
      <c r="F34" s="69" t="s">
        <v>2</v>
      </c>
      <c r="G34">
        <v>0.9932683666841402</v>
      </c>
      <c r="H34">
        <v>665.68316666666658</v>
      </c>
      <c r="I34" s="7">
        <f>Alice_Master_Analysis[[#This Row],[Payload]]*val_yield_rate</f>
        <v>1417.7321684337578</v>
      </c>
      <c r="J34" s="7">
        <f>Alice_Master_Analysis[[#This Row],[Net_kWh_used]]*val_elec_rate</f>
        <v>119.82296999999998</v>
      </c>
      <c r="K34" s="7">
        <f>(Alice_Master_Analysis[[#This Row],[Net_kWh_used]]/850)*(val_battery_cost/val_cycle)</f>
        <v>182.73655555555555</v>
      </c>
      <c r="L34" s="7">
        <f>Alice_Master_Analysis[[#This Row],[Energy Cost]]+Alice_Master_Analysis[[#This Row],[Battery Depreciation]]+val_ground_ops</f>
        <v>1502.5595255555554</v>
      </c>
      <c r="M34" s="7">
        <f>Alice_Master_Analysis[[#This Row],[Sortie Revenue]]-Alice_Master_Analysis[[#This Row],[Total OpEx per Sortie]]</f>
        <v>-84.827357121797604</v>
      </c>
      <c r="N34" s="70">
        <f>Alice_Master_Analysis[[#This Row],[Net Profit]]/Alice_Master_Analysis[[#This Row],[Sortie Revenue]]</f>
        <v>-5.9833132809217968E-2</v>
      </c>
    </row>
    <row r="35" spans="1:14" x14ac:dyDescent="0.2">
      <c r="A35" s="69" t="s">
        <v>36</v>
      </c>
      <c r="B35">
        <v>53</v>
      </c>
      <c r="C35">
        <v>99.05116666666666</v>
      </c>
      <c r="D35">
        <v>20.8995</v>
      </c>
      <c r="E35">
        <v>2397.7710745066665</v>
      </c>
      <c r="F35" s="69" t="s">
        <v>5</v>
      </c>
      <c r="G35">
        <v>11.880758570181396</v>
      </c>
      <c r="H35">
        <v>664.28916666666657</v>
      </c>
      <c r="I35" s="7">
        <f>Alice_Master_Analysis[[#This Row],[Payload]]*val_yield_rate</f>
        <v>5394.9849176399994</v>
      </c>
      <c r="J35" s="7">
        <f>Alice_Master_Analysis[[#This Row],[Net_kWh_used]]*val_elec_rate</f>
        <v>119.57204999999998</v>
      </c>
      <c r="K35" s="7">
        <f>(Alice_Master_Analysis[[#This Row],[Net_kWh_used]]/850)*(val_battery_cost/val_cycle)</f>
        <v>182.35388888888886</v>
      </c>
      <c r="L35" s="7">
        <f>Alice_Master_Analysis[[#This Row],[Energy Cost]]+Alice_Master_Analysis[[#This Row],[Battery Depreciation]]+val_ground_ops</f>
        <v>1501.9259388888888</v>
      </c>
      <c r="M35" s="7">
        <f>Alice_Master_Analysis[[#This Row],[Sortie Revenue]]-Alice_Master_Analysis[[#This Row],[Total OpEx per Sortie]]</f>
        <v>3893.0589787511108</v>
      </c>
      <c r="N35" s="70">
        <f>Alice_Master_Analysis[[#This Row],[Net Profit]]/Alice_Master_Analysis[[#This Row],[Sortie Revenue]]</f>
        <v>0.72160701803298155</v>
      </c>
    </row>
    <row r="36" spans="1:14" x14ac:dyDescent="0.2">
      <c r="A36" s="69" t="s">
        <v>37</v>
      </c>
      <c r="B36">
        <v>52</v>
      </c>
      <c r="C36">
        <v>99.037000000000006</v>
      </c>
      <c r="D36">
        <v>20.894500000000001</v>
      </c>
      <c r="E36">
        <v>2431.2640661491187</v>
      </c>
      <c r="F36" s="69" t="s">
        <v>5</v>
      </c>
      <c r="G36">
        <v>42.145485195625959</v>
      </c>
      <c r="H36">
        <v>664.21125000000006</v>
      </c>
      <c r="I36" s="7">
        <f>Alice_Master_Analysis[[#This Row],[Payload]]*val_yield_rate</f>
        <v>5470.3441488355165</v>
      </c>
      <c r="J36" s="7">
        <f>Alice_Master_Analysis[[#This Row],[Net_kWh_used]]*val_elec_rate</f>
        <v>119.558025</v>
      </c>
      <c r="K36" s="7">
        <f>(Alice_Master_Analysis[[#This Row],[Net_kWh_used]]/850)*(val_battery_cost/val_cycle)</f>
        <v>182.33250000000001</v>
      </c>
      <c r="L36" s="7">
        <f>Alice_Master_Analysis[[#This Row],[Energy Cost]]+Alice_Master_Analysis[[#This Row],[Battery Depreciation]]+val_ground_ops</f>
        <v>1501.890525</v>
      </c>
      <c r="M36" s="7">
        <f>Alice_Master_Analysis[[#This Row],[Sortie Revenue]]-Alice_Master_Analysis[[#This Row],[Total OpEx per Sortie]]</f>
        <v>3968.4536238355167</v>
      </c>
      <c r="N36" s="70">
        <f>Alice_Master_Analysis[[#This Row],[Net Profit]]/Alice_Master_Analysis[[#This Row],[Sortie Revenue]]</f>
        <v>0.72544862185321368</v>
      </c>
    </row>
    <row r="37" spans="1:14" x14ac:dyDescent="0.2">
      <c r="A37" s="69" t="s">
        <v>38</v>
      </c>
      <c r="B37">
        <v>54</v>
      </c>
      <c r="C37">
        <v>99.066333333333333</v>
      </c>
      <c r="D37">
        <v>21.025833333333331</v>
      </c>
      <c r="E37">
        <v>2116.7946962329224</v>
      </c>
      <c r="F37" s="69" t="s">
        <v>5</v>
      </c>
      <c r="G37">
        <v>11.160146601037759</v>
      </c>
      <c r="H37">
        <v>663.3442500000001</v>
      </c>
      <c r="I37" s="7">
        <f>Alice_Master_Analysis[[#This Row],[Payload]]*val_yield_rate</f>
        <v>4762.7880665240755</v>
      </c>
      <c r="J37" s="7">
        <f>Alice_Master_Analysis[[#This Row],[Net_kWh_used]]*val_elec_rate</f>
        <v>119.40196500000002</v>
      </c>
      <c r="K37" s="7">
        <f>(Alice_Master_Analysis[[#This Row],[Net_kWh_used]]/850)*(val_battery_cost/val_cycle)</f>
        <v>182.09450000000004</v>
      </c>
      <c r="L37" s="7">
        <f>Alice_Master_Analysis[[#This Row],[Energy Cost]]+Alice_Master_Analysis[[#This Row],[Battery Depreciation]]+val_ground_ops</f>
        <v>1501.4964650000002</v>
      </c>
      <c r="M37" s="7">
        <f>Alice_Master_Analysis[[#This Row],[Sortie Revenue]]-Alice_Master_Analysis[[#This Row],[Total OpEx per Sortie]]</f>
        <v>3261.2916015240753</v>
      </c>
      <c r="N37" s="70">
        <f>Alice_Master_Analysis[[#This Row],[Net Profit]]/Alice_Master_Analysis[[#This Row],[Sortie Revenue]]</f>
        <v>0.68474422039614169</v>
      </c>
    </row>
    <row r="38" spans="1:14" x14ac:dyDescent="0.2">
      <c r="A38" s="69" t="s">
        <v>39</v>
      </c>
      <c r="B38">
        <v>62</v>
      </c>
      <c r="C38">
        <v>99.157499999999999</v>
      </c>
      <c r="D38">
        <v>20.734999999999999</v>
      </c>
      <c r="E38">
        <v>1109.2275383467413</v>
      </c>
      <c r="F38" s="69" t="s">
        <v>2</v>
      </c>
      <c r="G38">
        <v>20.939531087168305</v>
      </c>
      <c r="H38">
        <v>666.59124999999995</v>
      </c>
      <c r="I38" s="7">
        <f>Alice_Master_Analysis[[#This Row],[Payload]]*val_yield_rate</f>
        <v>2495.7619612801682</v>
      </c>
      <c r="J38" s="7">
        <f>Alice_Master_Analysis[[#This Row],[Net_kWh_used]]*val_elec_rate</f>
        <v>119.98642499999998</v>
      </c>
      <c r="K38" s="7">
        <f>(Alice_Master_Analysis[[#This Row],[Net_kWh_used]]/850)*(val_battery_cost/val_cycle)</f>
        <v>182.98583333333332</v>
      </c>
      <c r="L38" s="7">
        <f>Alice_Master_Analysis[[#This Row],[Energy Cost]]+Alice_Master_Analysis[[#This Row],[Battery Depreciation]]+val_ground_ops</f>
        <v>1502.9722583333332</v>
      </c>
      <c r="M38" s="7">
        <f>Alice_Master_Analysis[[#This Row],[Sortie Revenue]]-Alice_Master_Analysis[[#This Row],[Total OpEx per Sortie]]</f>
        <v>992.78970294683495</v>
      </c>
      <c r="N38" s="70">
        <f>Alice_Master_Analysis[[#This Row],[Net Profit]]/Alice_Master_Analysis[[#This Row],[Sortie Revenue]]</f>
        <v>0.39779022132286868</v>
      </c>
    </row>
    <row r="39" spans="1:14" x14ac:dyDescent="0.2">
      <c r="A39" s="69" t="s">
        <v>40</v>
      </c>
      <c r="B39">
        <v>65</v>
      </c>
      <c r="C39">
        <v>99.179333333333332</v>
      </c>
      <c r="D39">
        <v>20.509333333333334</v>
      </c>
      <c r="E39">
        <v>695.34422801276776</v>
      </c>
      <c r="F39" s="69" t="s">
        <v>5</v>
      </c>
      <c r="G39">
        <v>30.150947944758897</v>
      </c>
      <c r="H39">
        <v>668.69500000000005</v>
      </c>
      <c r="I39" s="7">
        <f>Alice_Master_Analysis[[#This Row],[Payload]]*val_yield_rate</f>
        <v>1564.5245130287274</v>
      </c>
      <c r="J39" s="7">
        <f>Alice_Master_Analysis[[#This Row],[Net_kWh_used]]*val_elec_rate</f>
        <v>120.3651</v>
      </c>
      <c r="K39" s="7">
        <f>(Alice_Master_Analysis[[#This Row],[Net_kWh_used]]/850)*(val_battery_cost/val_cycle)</f>
        <v>183.56333333333336</v>
      </c>
      <c r="L39" s="7">
        <f>Alice_Master_Analysis[[#This Row],[Energy Cost]]+Alice_Master_Analysis[[#This Row],[Battery Depreciation]]+val_ground_ops</f>
        <v>1503.9284333333335</v>
      </c>
      <c r="M39" s="7">
        <f>Alice_Master_Analysis[[#This Row],[Sortie Revenue]]-Alice_Master_Analysis[[#This Row],[Total OpEx per Sortie]]</f>
        <v>60.596079695393883</v>
      </c>
      <c r="N39" s="70">
        <f>Alice_Master_Analysis[[#This Row],[Net Profit]]/Alice_Master_Analysis[[#This Row],[Sortie Revenue]]</f>
        <v>3.8731307301850648E-2</v>
      </c>
    </row>
    <row r="40" spans="1:14" x14ac:dyDescent="0.2">
      <c r="A40" s="69" t="s">
        <v>41</v>
      </c>
      <c r="B40">
        <v>56</v>
      </c>
      <c r="C40">
        <v>99.085000000000008</v>
      </c>
      <c r="D40">
        <v>20.519000000000002</v>
      </c>
      <c r="E40">
        <v>1868.4660530243141</v>
      </c>
      <c r="F40" s="69" t="s">
        <v>5</v>
      </c>
      <c r="G40">
        <v>13.1814801189647</v>
      </c>
      <c r="H40">
        <v>667.81100000000004</v>
      </c>
      <c r="I40" s="7">
        <f>Alice_Master_Analysis[[#This Row],[Payload]]*val_yield_rate</f>
        <v>4204.0486193047063</v>
      </c>
      <c r="J40" s="7">
        <f>Alice_Master_Analysis[[#This Row],[Net_kWh_used]]*val_elec_rate</f>
        <v>120.20598</v>
      </c>
      <c r="K40" s="7">
        <f>(Alice_Master_Analysis[[#This Row],[Net_kWh_used]]/850)*(val_battery_cost/val_cycle)</f>
        <v>183.32066666666668</v>
      </c>
      <c r="L40" s="7">
        <f>Alice_Master_Analysis[[#This Row],[Energy Cost]]+Alice_Master_Analysis[[#This Row],[Battery Depreciation]]+val_ground_ops</f>
        <v>1503.5266466666667</v>
      </c>
      <c r="M40" s="7">
        <f>Alice_Master_Analysis[[#This Row],[Sortie Revenue]]-Alice_Master_Analysis[[#This Row],[Total OpEx per Sortie]]</f>
        <v>2700.5219726380396</v>
      </c>
      <c r="N40" s="70">
        <f>Alice_Master_Analysis[[#This Row],[Net Profit]]/Alice_Master_Analysis[[#This Row],[Sortie Revenue]]</f>
        <v>0.64236221251995651</v>
      </c>
    </row>
    <row r="41" spans="1:14" x14ac:dyDescent="0.2">
      <c r="A41" s="69" t="s">
        <v>42</v>
      </c>
      <c r="B41">
        <v>57</v>
      </c>
      <c r="C41">
        <v>99.096333333333334</v>
      </c>
      <c r="D41">
        <v>20.1585</v>
      </c>
      <c r="E41">
        <v>1380.3049874792025</v>
      </c>
      <c r="F41" s="69" t="s">
        <v>2</v>
      </c>
      <c r="G41">
        <v>43.589104136048029</v>
      </c>
      <c r="H41">
        <v>670.97158333333334</v>
      </c>
      <c r="I41" s="7">
        <f>Alice_Master_Analysis[[#This Row],[Payload]]*val_yield_rate</f>
        <v>3105.6862218282058</v>
      </c>
      <c r="J41" s="7">
        <f>Alice_Master_Analysis[[#This Row],[Net_kWh_used]]*val_elec_rate</f>
        <v>120.774885</v>
      </c>
      <c r="K41" s="7">
        <f>(Alice_Master_Analysis[[#This Row],[Net_kWh_used]]/850)*(val_battery_cost/val_cycle)</f>
        <v>184.18827777777778</v>
      </c>
      <c r="L41" s="7">
        <f>Alice_Master_Analysis[[#This Row],[Energy Cost]]+Alice_Master_Analysis[[#This Row],[Battery Depreciation]]+val_ground_ops</f>
        <v>1504.9631627777778</v>
      </c>
      <c r="M41" s="7">
        <f>Alice_Master_Analysis[[#This Row],[Sortie Revenue]]-Alice_Master_Analysis[[#This Row],[Total OpEx per Sortie]]</f>
        <v>1600.723059050428</v>
      </c>
      <c r="N41" s="70">
        <f>Alice_Master_Analysis[[#This Row],[Net Profit]]/Alice_Master_Analysis[[#This Row],[Sortie Revenue]]</f>
        <v>0.51541686594086766</v>
      </c>
    </row>
    <row r="42" spans="1:14" x14ac:dyDescent="0.2">
      <c r="A42" s="69" t="s">
        <v>43</v>
      </c>
      <c r="B42">
        <v>60</v>
      </c>
      <c r="C42">
        <v>99.136833333333328</v>
      </c>
      <c r="D42">
        <v>20.797000000000001</v>
      </c>
      <c r="E42">
        <v>744.0764696895576</v>
      </c>
      <c r="F42" s="69" t="s">
        <v>2</v>
      </c>
      <c r="G42">
        <v>43.122364747105571</v>
      </c>
      <c r="H42">
        <v>665.88858333333337</v>
      </c>
      <c r="I42" s="7">
        <f>Alice_Master_Analysis[[#This Row],[Payload]]*val_yield_rate</f>
        <v>1674.1720568015046</v>
      </c>
      <c r="J42" s="7">
        <f>Alice_Master_Analysis[[#This Row],[Net_kWh_used]]*val_elec_rate</f>
        <v>119.859945</v>
      </c>
      <c r="K42" s="7">
        <f>(Alice_Master_Analysis[[#This Row],[Net_kWh_used]]/850)*(val_battery_cost/val_cycle)</f>
        <v>182.79294444444446</v>
      </c>
      <c r="L42" s="7">
        <f>Alice_Master_Analysis[[#This Row],[Energy Cost]]+Alice_Master_Analysis[[#This Row],[Battery Depreciation]]+val_ground_ops</f>
        <v>1502.6528894444446</v>
      </c>
      <c r="M42" s="7">
        <f>Alice_Master_Analysis[[#This Row],[Sortie Revenue]]-Alice_Master_Analysis[[#This Row],[Total OpEx per Sortie]]</f>
        <v>171.51916735706004</v>
      </c>
      <c r="N42" s="70">
        <f>Alice_Master_Analysis[[#This Row],[Net Profit]]/Alice_Master_Analysis[[#This Row],[Sortie Revenue]]</f>
        <v>0.10245014343671842</v>
      </c>
    </row>
    <row r="43" spans="1:14" x14ac:dyDescent="0.2">
      <c r="A43" s="69" t="s">
        <v>44</v>
      </c>
      <c r="B43">
        <v>56</v>
      </c>
      <c r="C43">
        <v>99.093333333333334</v>
      </c>
      <c r="D43">
        <v>21.175000000000001</v>
      </c>
      <c r="E43">
        <v>1490.3538202225404</v>
      </c>
      <c r="F43" s="69" t="s">
        <v>5</v>
      </c>
      <c r="G43">
        <v>7.5891147912682078</v>
      </c>
      <c r="H43">
        <v>662.30583333333334</v>
      </c>
      <c r="I43" s="7">
        <f>Alice_Master_Analysis[[#This Row],[Payload]]*val_yield_rate</f>
        <v>3353.2960955007161</v>
      </c>
      <c r="J43" s="7">
        <f>Alice_Master_Analysis[[#This Row],[Net_kWh_used]]*val_elec_rate</f>
        <v>119.21504999999999</v>
      </c>
      <c r="K43" s="7">
        <f>(Alice_Master_Analysis[[#This Row],[Net_kWh_used]]/850)*(val_battery_cost/val_cycle)</f>
        <v>181.80944444444447</v>
      </c>
      <c r="L43" s="7">
        <f>Alice_Master_Analysis[[#This Row],[Energy Cost]]+Alice_Master_Analysis[[#This Row],[Battery Depreciation]]+val_ground_ops</f>
        <v>1501.0244944444444</v>
      </c>
      <c r="M43" s="7">
        <f>Alice_Master_Analysis[[#This Row],[Sortie Revenue]]-Alice_Master_Analysis[[#This Row],[Total OpEx per Sortie]]</f>
        <v>1852.2716010562717</v>
      </c>
      <c r="N43" s="70">
        <f>Alice_Master_Analysis[[#This Row],[Net Profit]]/Alice_Master_Analysis[[#This Row],[Sortie Revenue]]</f>
        <v>0.5523734106098046</v>
      </c>
    </row>
    <row r="44" spans="1:14" x14ac:dyDescent="0.2">
      <c r="A44" s="69" t="s">
        <v>45</v>
      </c>
      <c r="B44">
        <v>67</v>
      </c>
      <c r="C44">
        <v>99.186666666666667</v>
      </c>
      <c r="D44">
        <v>20.336333333333336</v>
      </c>
      <c r="E44">
        <v>568.77704223043679</v>
      </c>
      <c r="F44" s="69" t="s">
        <v>5</v>
      </c>
      <c r="G44">
        <v>19.862425294619271</v>
      </c>
      <c r="H44">
        <v>670.22783333333336</v>
      </c>
      <c r="I44" s="7">
        <f>Alice_Master_Analysis[[#This Row],[Payload]]*val_yield_rate</f>
        <v>1279.7483450184827</v>
      </c>
      <c r="J44" s="7">
        <f>Alice_Master_Analysis[[#This Row],[Net_kWh_used]]*val_elec_rate</f>
        <v>120.64100999999999</v>
      </c>
      <c r="K44" s="7">
        <f>(Alice_Master_Analysis[[#This Row],[Net_kWh_used]]/850)*(val_battery_cost/val_cycle)</f>
        <v>183.9841111111111</v>
      </c>
      <c r="L44" s="7">
        <f>Alice_Master_Analysis[[#This Row],[Energy Cost]]+Alice_Master_Analysis[[#This Row],[Battery Depreciation]]+val_ground_ops</f>
        <v>1504.6251211111112</v>
      </c>
      <c r="M44" s="7">
        <f>Alice_Master_Analysis[[#This Row],[Sortie Revenue]]-Alice_Master_Analysis[[#This Row],[Total OpEx per Sortie]]</f>
        <v>-224.87677609262846</v>
      </c>
      <c r="N44" s="70">
        <f>Alice_Master_Analysis[[#This Row],[Net Profit]]/Alice_Master_Analysis[[#This Row],[Sortie Revenue]]</f>
        <v>-0.17571952874014515</v>
      </c>
    </row>
    <row r="45" spans="1:14" x14ac:dyDescent="0.2">
      <c r="A45" s="69" t="s">
        <v>46</v>
      </c>
      <c r="B45">
        <v>53</v>
      </c>
      <c r="C45">
        <v>99.0505</v>
      </c>
      <c r="D45">
        <v>20.819333333333336</v>
      </c>
      <c r="E45">
        <v>2318.6408041575642</v>
      </c>
      <c r="F45" s="69" t="s">
        <v>2</v>
      </c>
      <c r="G45">
        <v>10.043915490838485</v>
      </c>
      <c r="H45">
        <v>664.96491666666668</v>
      </c>
      <c r="I45" s="7">
        <f>Alice_Master_Analysis[[#This Row],[Payload]]*val_yield_rate</f>
        <v>5216.9418093545191</v>
      </c>
      <c r="J45" s="7">
        <f>Alice_Master_Analysis[[#This Row],[Net_kWh_used]]*val_elec_rate</f>
        <v>119.693685</v>
      </c>
      <c r="K45" s="7">
        <f>(Alice_Master_Analysis[[#This Row],[Net_kWh_used]]/850)*(val_battery_cost/val_cycle)</f>
        <v>182.53938888888891</v>
      </c>
      <c r="L45" s="7">
        <f>Alice_Master_Analysis[[#This Row],[Energy Cost]]+Alice_Master_Analysis[[#This Row],[Battery Depreciation]]+val_ground_ops</f>
        <v>1502.2330738888888</v>
      </c>
      <c r="M45" s="7">
        <f>Alice_Master_Analysis[[#This Row],[Sortie Revenue]]-Alice_Master_Analysis[[#This Row],[Total OpEx per Sortie]]</f>
        <v>3714.7087354656305</v>
      </c>
      <c r="N45" s="70">
        <f>Alice_Master_Analysis[[#This Row],[Net Profit]]/Alice_Master_Analysis[[#This Row],[Sortie Revenue]]</f>
        <v>0.71204718611290074</v>
      </c>
    </row>
    <row r="46" spans="1:14" x14ac:dyDescent="0.2">
      <c r="A46" s="69" t="s">
        <v>47</v>
      </c>
      <c r="B46">
        <v>59</v>
      </c>
      <c r="C46">
        <v>99.127499999999998</v>
      </c>
      <c r="D46">
        <v>20.984999999999999</v>
      </c>
      <c r="E46">
        <v>1017.5599632000338</v>
      </c>
      <c r="F46" s="69" t="s">
        <v>2</v>
      </c>
      <c r="G46">
        <v>9.2420247188733793</v>
      </c>
      <c r="H46">
        <v>664.21124999999995</v>
      </c>
      <c r="I46" s="7">
        <f>Alice_Master_Analysis[[#This Row],[Payload]]*val_yield_rate</f>
        <v>2289.509917200076</v>
      </c>
      <c r="J46" s="7">
        <f>Alice_Master_Analysis[[#This Row],[Net_kWh_used]]*val_elec_rate</f>
        <v>119.55802499999999</v>
      </c>
      <c r="K46" s="7">
        <f>(Alice_Master_Analysis[[#This Row],[Net_kWh_used]]/850)*(val_battery_cost/val_cycle)</f>
        <v>182.33249999999998</v>
      </c>
      <c r="L46" s="7">
        <f>Alice_Master_Analysis[[#This Row],[Energy Cost]]+Alice_Master_Analysis[[#This Row],[Battery Depreciation]]+val_ground_ops</f>
        <v>1501.890525</v>
      </c>
      <c r="M46" s="7">
        <f>Alice_Master_Analysis[[#This Row],[Sortie Revenue]]-Alice_Master_Analysis[[#This Row],[Total OpEx per Sortie]]</f>
        <v>787.61939220007594</v>
      </c>
      <c r="N46" s="70">
        <f>Alice_Master_Analysis[[#This Row],[Net Profit]]/Alice_Master_Analysis[[#This Row],[Sortie Revenue]]</f>
        <v>0.34401222125444386</v>
      </c>
    </row>
    <row r="47" spans="1:14" x14ac:dyDescent="0.2">
      <c r="A47" s="69" t="s">
        <v>48</v>
      </c>
      <c r="B47">
        <v>52</v>
      </c>
      <c r="C47">
        <v>99.040333333333336</v>
      </c>
      <c r="D47">
        <v>21.238999999999997</v>
      </c>
      <c r="E47">
        <v>1825.0445687079639</v>
      </c>
      <c r="F47" s="69" t="s">
        <v>2</v>
      </c>
      <c r="G47">
        <v>-3.1556526322733598</v>
      </c>
      <c r="H47">
        <v>661.31133333333332</v>
      </c>
      <c r="I47" s="7">
        <f>Alice_Master_Analysis[[#This Row],[Payload]]*val_yield_rate</f>
        <v>4106.3502795929189</v>
      </c>
      <c r="J47" s="7">
        <f>Alice_Master_Analysis[[#This Row],[Net_kWh_used]]*val_elec_rate</f>
        <v>119.03604</v>
      </c>
      <c r="K47" s="7">
        <f>(Alice_Master_Analysis[[#This Row],[Net_kWh_used]]/850)*(val_battery_cost/val_cycle)</f>
        <v>181.53644444444444</v>
      </c>
      <c r="L47" s="7">
        <f>Alice_Master_Analysis[[#This Row],[Energy Cost]]+Alice_Master_Analysis[[#This Row],[Battery Depreciation]]+val_ground_ops</f>
        <v>1500.5724844444444</v>
      </c>
      <c r="M47" s="7">
        <f>Alice_Master_Analysis[[#This Row],[Sortie Revenue]]-Alice_Master_Analysis[[#This Row],[Total OpEx per Sortie]]</f>
        <v>2605.7777951484745</v>
      </c>
      <c r="N47" s="70">
        <f>Alice_Master_Analysis[[#This Row],[Net Profit]]/Alice_Master_Analysis[[#This Row],[Sortie Revenue]]</f>
        <v>0.63457270269861077</v>
      </c>
    </row>
    <row r="48" spans="1:14" x14ac:dyDescent="0.2">
      <c r="A48" s="69" t="s">
        <v>49</v>
      </c>
      <c r="B48">
        <v>63</v>
      </c>
      <c r="C48">
        <v>99.167500000000004</v>
      </c>
      <c r="D48">
        <v>20.734999999999999</v>
      </c>
      <c r="E48">
        <v>1123.422152178822</v>
      </c>
      <c r="F48" s="69" t="s">
        <v>2</v>
      </c>
      <c r="G48">
        <v>25.478216698994839</v>
      </c>
      <c r="H48">
        <v>666.67624999999998</v>
      </c>
      <c r="I48" s="7">
        <f>Alice_Master_Analysis[[#This Row],[Payload]]*val_yield_rate</f>
        <v>2527.6998424023495</v>
      </c>
      <c r="J48" s="7">
        <f>Alice_Master_Analysis[[#This Row],[Net_kWh_used]]*val_elec_rate</f>
        <v>120.00172499999999</v>
      </c>
      <c r="K48" s="7">
        <f>(Alice_Master_Analysis[[#This Row],[Net_kWh_used]]/850)*(val_battery_cost/val_cycle)</f>
        <v>183.00916666666666</v>
      </c>
      <c r="L48" s="7">
        <f>Alice_Master_Analysis[[#This Row],[Energy Cost]]+Alice_Master_Analysis[[#This Row],[Battery Depreciation]]+val_ground_ops</f>
        <v>1503.0108916666668</v>
      </c>
      <c r="M48" s="7">
        <f>Alice_Master_Analysis[[#This Row],[Sortie Revenue]]-Alice_Master_Analysis[[#This Row],[Total OpEx per Sortie]]</f>
        <v>1024.6889507356827</v>
      </c>
      <c r="N48" s="70">
        <f>Alice_Master_Analysis[[#This Row],[Net Profit]]/Alice_Master_Analysis[[#This Row],[Sortie Revenue]]</f>
        <v>0.40538395166484986</v>
      </c>
    </row>
    <row r="49" spans="1:14" x14ac:dyDescent="0.2">
      <c r="A49" s="69" t="s">
        <v>50</v>
      </c>
      <c r="B49">
        <v>59</v>
      </c>
      <c r="C49">
        <v>99.128500000000003</v>
      </c>
      <c r="D49">
        <v>21.139333333333333</v>
      </c>
      <c r="E49">
        <v>1540.1360423556216</v>
      </c>
      <c r="F49" s="69" t="s">
        <v>5</v>
      </c>
      <c r="G49">
        <v>20.133951161443076</v>
      </c>
      <c r="H49">
        <v>662.90791666666678</v>
      </c>
      <c r="I49" s="7">
        <f>Alice_Master_Analysis[[#This Row],[Payload]]*val_yield_rate</f>
        <v>3465.3060953001486</v>
      </c>
      <c r="J49" s="7">
        <f>Alice_Master_Analysis[[#This Row],[Net_kWh_used]]*val_elec_rate</f>
        <v>119.32342500000001</v>
      </c>
      <c r="K49" s="7">
        <f>(Alice_Master_Analysis[[#This Row],[Net_kWh_used]]/850)*(val_battery_cost/val_cycle)</f>
        <v>181.97472222222225</v>
      </c>
      <c r="L49" s="7">
        <f>Alice_Master_Analysis[[#This Row],[Energy Cost]]+Alice_Master_Analysis[[#This Row],[Battery Depreciation]]+val_ground_ops</f>
        <v>1501.2981472222223</v>
      </c>
      <c r="M49" s="7">
        <f>Alice_Master_Analysis[[#This Row],[Sortie Revenue]]-Alice_Master_Analysis[[#This Row],[Total OpEx per Sortie]]</f>
        <v>1964.0079480779264</v>
      </c>
      <c r="N49" s="70">
        <f>Alice_Master_Analysis[[#This Row],[Net Profit]]/Alice_Master_Analysis[[#This Row],[Sortie Revenue]]</f>
        <v>0.56676319322602675</v>
      </c>
    </row>
    <row r="50" spans="1:14" x14ac:dyDescent="0.2">
      <c r="A50" s="69" t="s">
        <v>51</v>
      </c>
      <c r="B50">
        <v>54</v>
      </c>
      <c r="C50">
        <v>99.05683333333333</v>
      </c>
      <c r="D50">
        <v>20.024666666666668</v>
      </c>
      <c r="E50">
        <v>1593.4205586865594</v>
      </c>
      <c r="F50" s="69" t="s">
        <v>5</v>
      </c>
      <c r="G50">
        <v>-2.4260624375005326</v>
      </c>
      <c r="H50">
        <v>671.77341666666655</v>
      </c>
      <c r="I50" s="7">
        <f>Alice_Master_Analysis[[#This Row],[Payload]]*val_yield_rate</f>
        <v>3585.1962570447586</v>
      </c>
      <c r="J50" s="7">
        <f>Alice_Master_Analysis[[#This Row],[Net_kWh_used]]*val_elec_rate</f>
        <v>120.91921499999998</v>
      </c>
      <c r="K50" s="7">
        <f>(Alice_Master_Analysis[[#This Row],[Net_kWh_used]]/850)*(val_battery_cost/val_cycle)</f>
        <v>184.40838888888885</v>
      </c>
      <c r="L50" s="7">
        <f>Alice_Master_Analysis[[#This Row],[Energy Cost]]+Alice_Master_Analysis[[#This Row],[Battery Depreciation]]+val_ground_ops</f>
        <v>1505.3276038888889</v>
      </c>
      <c r="M50" s="7">
        <f>Alice_Master_Analysis[[#This Row],[Sortie Revenue]]-Alice_Master_Analysis[[#This Row],[Total OpEx per Sortie]]</f>
        <v>2079.8686531558697</v>
      </c>
      <c r="N50" s="70">
        <f>Alice_Master_Analysis[[#This Row],[Net Profit]]/Alice_Master_Analysis[[#This Row],[Sortie Revenue]]</f>
        <v>0.58012686169383776</v>
      </c>
    </row>
    <row r="51" spans="1:14" x14ac:dyDescent="0.2">
      <c r="A51" s="69" t="s">
        <v>52</v>
      </c>
      <c r="B51">
        <v>60</v>
      </c>
      <c r="C51">
        <v>99.135000000000005</v>
      </c>
      <c r="D51">
        <v>20.633500000000002</v>
      </c>
      <c r="E51">
        <v>869.70891105105409</v>
      </c>
      <c r="F51" s="69" t="s">
        <v>2</v>
      </c>
      <c r="G51">
        <v>8.9323232118305711</v>
      </c>
      <c r="H51">
        <v>667.2627500000001</v>
      </c>
      <c r="I51" s="7">
        <f>Alice_Master_Analysis[[#This Row],[Payload]]*val_yield_rate</f>
        <v>1956.8450498648717</v>
      </c>
      <c r="J51" s="7">
        <f>Alice_Master_Analysis[[#This Row],[Net_kWh_used]]*val_elec_rate</f>
        <v>120.10729500000001</v>
      </c>
      <c r="K51" s="7">
        <f>(Alice_Master_Analysis[[#This Row],[Net_kWh_used]]/850)*(val_battery_cost/val_cycle)</f>
        <v>183.17016666666672</v>
      </c>
      <c r="L51" s="7">
        <f>Alice_Master_Analysis[[#This Row],[Energy Cost]]+Alice_Master_Analysis[[#This Row],[Battery Depreciation]]+val_ground_ops</f>
        <v>1503.2774616666668</v>
      </c>
      <c r="M51" s="7">
        <f>Alice_Master_Analysis[[#This Row],[Sortie Revenue]]-Alice_Master_Analysis[[#This Row],[Total OpEx per Sortie]]</f>
        <v>453.56758819820493</v>
      </c>
      <c r="N51" s="70">
        <f>Alice_Master_Analysis[[#This Row],[Net Profit]]/Alice_Master_Analysis[[#This Row],[Sortie Revenue]]</f>
        <v>0.23178513200599385</v>
      </c>
    </row>
    <row r="52" spans="1:14" x14ac:dyDescent="0.2">
      <c r="A52" s="69" t="s">
        <v>53</v>
      </c>
      <c r="B52">
        <v>52</v>
      </c>
      <c r="C52">
        <v>99.041499999999999</v>
      </c>
      <c r="D52">
        <v>21.380999999999997</v>
      </c>
      <c r="E52">
        <v>2439.169255529117</v>
      </c>
      <c r="F52" s="69" t="s">
        <v>5</v>
      </c>
      <c r="G52">
        <v>40.413294298332687</v>
      </c>
      <c r="H52">
        <v>660.11424999999997</v>
      </c>
      <c r="I52" s="7">
        <f>Alice_Master_Analysis[[#This Row],[Payload]]*val_yield_rate</f>
        <v>5488.1308249405129</v>
      </c>
      <c r="J52" s="7">
        <f>Alice_Master_Analysis[[#This Row],[Net_kWh_used]]*val_elec_rate</f>
        <v>118.82056499999999</v>
      </c>
      <c r="K52" s="7">
        <f>(Alice_Master_Analysis[[#This Row],[Net_kWh_used]]/850)*(val_battery_cost/val_cycle)</f>
        <v>181.20783333333333</v>
      </c>
      <c r="L52" s="7">
        <f>Alice_Master_Analysis[[#This Row],[Energy Cost]]+Alice_Master_Analysis[[#This Row],[Battery Depreciation]]+val_ground_ops</f>
        <v>1500.0283983333334</v>
      </c>
      <c r="M52" s="7">
        <f>Alice_Master_Analysis[[#This Row],[Sortie Revenue]]-Alice_Master_Analysis[[#This Row],[Total OpEx per Sortie]]</f>
        <v>3988.1024266071795</v>
      </c>
      <c r="N52" s="70">
        <f>Alice_Master_Analysis[[#This Row],[Net Profit]]/Alice_Master_Analysis[[#This Row],[Sortie Revenue]]</f>
        <v>0.72667772577203593</v>
      </c>
    </row>
    <row r="53" spans="1:14" x14ac:dyDescent="0.2">
      <c r="A53" s="69" t="s">
        <v>54</v>
      </c>
      <c r="B53">
        <v>54</v>
      </c>
      <c r="C53">
        <v>99.05749999999999</v>
      </c>
      <c r="D53">
        <v>20.110333333333333</v>
      </c>
      <c r="E53">
        <v>2050.2656467222291</v>
      </c>
      <c r="F53" s="69" t="s">
        <v>2</v>
      </c>
      <c r="G53">
        <v>6.9780945333486208</v>
      </c>
      <c r="H53">
        <v>671.05091666666658</v>
      </c>
      <c r="I53" s="7">
        <f>Alice_Master_Analysis[[#This Row],[Payload]]*val_yield_rate</f>
        <v>4613.0977051250156</v>
      </c>
      <c r="J53" s="7">
        <f>Alice_Master_Analysis[[#This Row],[Net_kWh_used]]*val_elec_rate</f>
        <v>120.78916499999998</v>
      </c>
      <c r="K53" s="7">
        <f>(Alice_Master_Analysis[[#This Row],[Net_kWh_used]]/850)*(val_battery_cost/val_cycle)</f>
        <v>184.21005555555553</v>
      </c>
      <c r="L53" s="7">
        <f>Alice_Master_Analysis[[#This Row],[Energy Cost]]+Alice_Master_Analysis[[#This Row],[Battery Depreciation]]+val_ground_ops</f>
        <v>1504.9992205555554</v>
      </c>
      <c r="M53" s="7">
        <f>Alice_Master_Analysis[[#This Row],[Sortie Revenue]]-Alice_Master_Analysis[[#This Row],[Total OpEx per Sortie]]</f>
        <v>3108.0984845694602</v>
      </c>
      <c r="N53" s="70">
        <f>Alice_Master_Analysis[[#This Row],[Net Profit]]/Alice_Master_Analysis[[#This Row],[Sortie Revenue]]</f>
        <v>0.67375518214505936</v>
      </c>
    </row>
    <row r="54" spans="1:14" x14ac:dyDescent="0.2">
      <c r="A54" s="69" t="s">
        <v>55</v>
      </c>
      <c r="B54">
        <v>51</v>
      </c>
      <c r="C54">
        <v>99.022999999999996</v>
      </c>
      <c r="D54">
        <v>20.984999999999999</v>
      </c>
      <c r="E54">
        <v>2378.9978831283784</v>
      </c>
      <c r="F54" s="69" t="s">
        <v>2</v>
      </c>
      <c r="G54">
        <v>2.2447436045611542</v>
      </c>
      <c r="H54">
        <v>663.32299999999998</v>
      </c>
      <c r="I54" s="7">
        <f>Alice_Master_Analysis[[#This Row],[Payload]]*val_yield_rate</f>
        <v>5352.745237038851</v>
      </c>
      <c r="J54" s="7">
        <f>Alice_Master_Analysis[[#This Row],[Net_kWh_used]]*val_elec_rate</f>
        <v>119.39814</v>
      </c>
      <c r="K54" s="7">
        <f>(Alice_Master_Analysis[[#This Row],[Net_kWh_used]]/850)*(val_battery_cost/val_cycle)</f>
        <v>182.08866666666665</v>
      </c>
      <c r="L54" s="7">
        <f>Alice_Master_Analysis[[#This Row],[Energy Cost]]+Alice_Master_Analysis[[#This Row],[Battery Depreciation]]+val_ground_ops</f>
        <v>1501.4868066666668</v>
      </c>
      <c r="M54" s="7">
        <f>Alice_Master_Analysis[[#This Row],[Sortie Revenue]]-Alice_Master_Analysis[[#This Row],[Total OpEx per Sortie]]</f>
        <v>3851.2584303721842</v>
      </c>
      <c r="N54" s="70">
        <f>Alice_Master_Analysis[[#This Row],[Net Profit]]/Alice_Master_Analysis[[#This Row],[Sortie Revenue]]</f>
        <v>0.71949219696148059</v>
      </c>
    </row>
    <row r="55" spans="1:14" x14ac:dyDescent="0.2">
      <c r="A55" s="69" t="s">
        <v>56</v>
      </c>
      <c r="B55">
        <v>55</v>
      </c>
      <c r="C55">
        <v>99.081166666666661</v>
      </c>
      <c r="D55">
        <v>21.196666666666665</v>
      </c>
      <c r="E55">
        <v>2289.6547008552975</v>
      </c>
      <c r="F55" s="69" t="s">
        <v>2</v>
      </c>
      <c r="G55">
        <v>19.47263801387815</v>
      </c>
      <c r="H55">
        <v>662.01825000000008</v>
      </c>
      <c r="I55" s="7">
        <f>Alice_Master_Analysis[[#This Row],[Payload]]*val_yield_rate</f>
        <v>5151.7230769244197</v>
      </c>
      <c r="J55" s="7">
        <f>Alice_Master_Analysis[[#This Row],[Net_kWh_used]]*val_elec_rate</f>
        <v>119.16328500000002</v>
      </c>
      <c r="K55" s="7">
        <f>(Alice_Master_Analysis[[#This Row],[Net_kWh_used]]/850)*(val_battery_cost/val_cycle)</f>
        <v>181.73050000000003</v>
      </c>
      <c r="L55" s="7">
        <f>Alice_Master_Analysis[[#This Row],[Energy Cost]]+Alice_Master_Analysis[[#This Row],[Battery Depreciation]]+val_ground_ops</f>
        <v>1500.893785</v>
      </c>
      <c r="M55" s="7">
        <f>Alice_Master_Analysis[[#This Row],[Sortie Revenue]]-Alice_Master_Analysis[[#This Row],[Total OpEx per Sortie]]</f>
        <v>3650.8292919244195</v>
      </c>
      <c r="N55" s="70">
        <f>Alice_Master_Analysis[[#This Row],[Net Profit]]/Alice_Master_Analysis[[#This Row],[Sortie Revenue]]</f>
        <v>0.7086617889609016</v>
      </c>
    </row>
    <row r="56" spans="1:14" x14ac:dyDescent="0.2">
      <c r="A56" s="69" t="s">
        <v>57</v>
      </c>
      <c r="B56">
        <v>55</v>
      </c>
      <c r="C56">
        <v>99.075166666666675</v>
      </c>
      <c r="D56">
        <v>20.581666666666667</v>
      </c>
      <c r="E56">
        <v>1695.7999576221705</v>
      </c>
      <c r="F56" s="69" t="s">
        <v>5</v>
      </c>
      <c r="G56">
        <v>44.282522705530035</v>
      </c>
      <c r="H56">
        <v>667.19475000000011</v>
      </c>
      <c r="I56" s="7">
        <f>Alice_Master_Analysis[[#This Row],[Payload]]*val_yield_rate</f>
        <v>3815.5499046498835</v>
      </c>
      <c r="J56" s="7">
        <f>Alice_Master_Analysis[[#This Row],[Net_kWh_used]]*val_elec_rate</f>
        <v>120.09505500000002</v>
      </c>
      <c r="K56" s="7">
        <f>(Alice_Master_Analysis[[#This Row],[Net_kWh_used]]/850)*(val_battery_cost/val_cycle)</f>
        <v>183.15150000000006</v>
      </c>
      <c r="L56" s="7">
        <f>Alice_Master_Analysis[[#This Row],[Energy Cost]]+Alice_Master_Analysis[[#This Row],[Battery Depreciation]]+val_ground_ops</f>
        <v>1503.2465550000002</v>
      </c>
      <c r="M56" s="7">
        <f>Alice_Master_Analysis[[#This Row],[Sortie Revenue]]-Alice_Master_Analysis[[#This Row],[Total OpEx per Sortie]]</f>
        <v>2312.3033496498833</v>
      </c>
      <c r="N56" s="70">
        <f>Alice_Master_Analysis[[#This Row],[Net Profit]]/Alice_Master_Analysis[[#This Row],[Sortie Revenue]]</f>
        <v>0.60602099498998985</v>
      </c>
    </row>
    <row r="57" spans="1:14" x14ac:dyDescent="0.2">
      <c r="A57" s="69" t="s">
        <v>58</v>
      </c>
      <c r="B57">
        <v>52</v>
      </c>
      <c r="C57">
        <v>99.039999999999992</v>
      </c>
      <c r="D57">
        <v>21.203166666666668</v>
      </c>
      <c r="E57">
        <v>2343.7484700462337</v>
      </c>
      <c r="F57" s="69" t="s">
        <v>5</v>
      </c>
      <c r="G57">
        <v>7.1027635755750209</v>
      </c>
      <c r="H57">
        <v>661.61308333333318</v>
      </c>
      <c r="I57" s="7">
        <f>Alice_Master_Analysis[[#This Row],[Payload]]*val_yield_rate</f>
        <v>5273.4340576040258</v>
      </c>
      <c r="J57" s="7">
        <f>Alice_Master_Analysis[[#This Row],[Net_kWh_used]]*val_elec_rate</f>
        <v>119.09035499999997</v>
      </c>
      <c r="K57" s="7">
        <f>(Alice_Master_Analysis[[#This Row],[Net_kWh_used]]/850)*(val_battery_cost/val_cycle)</f>
        <v>181.61927777777774</v>
      </c>
      <c r="L57" s="7">
        <f>Alice_Master_Analysis[[#This Row],[Energy Cost]]+Alice_Master_Analysis[[#This Row],[Battery Depreciation]]+val_ground_ops</f>
        <v>1500.7096327777776</v>
      </c>
      <c r="M57" s="7">
        <f>Alice_Master_Analysis[[#This Row],[Sortie Revenue]]-Alice_Master_Analysis[[#This Row],[Total OpEx per Sortie]]</f>
        <v>3772.7244248262482</v>
      </c>
      <c r="N57" s="70">
        <f>Alice_Master_Analysis[[#This Row],[Net Profit]]/Alice_Master_Analysis[[#This Row],[Sortie Revenue]]</f>
        <v>0.71542080238704608</v>
      </c>
    </row>
    <row r="58" spans="1:14" x14ac:dyDescent="0.2">
      <c r="A58" s="69" t="s">
        <v>59</v>
      </c>
      <c r="B58">
        <v>67</v>
      </c>
      <c r="C58">
        <v>99.18516666666666</v>
      </c>
      <c r="D58">
        <v>20.083500000000001</v>
      </c>
      <c r="E58">
        <v>676.98500410383895</v>
      </c>
      <c r="F58" s="69" t="s">
        <v>2</v>
      </c>
      <c r="G58">
        <v>28.606777370293926</v>
      </c>
      <c r="H58">
        <v>672.36416666666662</v>
      </c>
      <c r="I58" s="7">
        <f>Alice_Master_Analysis[[#This Row],[Payload]]*val_yield_rate</f>
        <v>1523.2162592336376</v>
      </c>
      <c r="J58" s="7">
        <f>Alice_Master_Analysis[[#This Row],[Net_kWh_used]]*val_elec_rate</f>
        <v>121.02554999999998</v>
      </c>
      <c r="K58" s="7">
        <f>(Alice_Master_Analysis[[#This Row],[Net_kWh_used]]/850)*(val_battery_cost/val_cycle)</f>
        <v>184.57055555555556</v>
      </c>
      <c r="L58" s="7">
        <f>Alice_Master_Analysis[[#This Row],[Energy Cost]]+Alice_Master_Analysis[[#This Row],[Battery Depreciation]]+val_ground_ops</f>
        <v>1505.5961055555556</v>
      </c>
      <c r="M58" s="7">
        <f>Alice_Master_Analysis[[#This Row],[Sortie Revenue]]-Alice_Master_Analysis[[#This Row],[Total OpEx per Sortie]]</f>
        <v>17.620153678082033</v>
      </c>
      <c r="N58" s="70">
        <f>Alice_Master_Analysis[[#This Row],[Net Profit]]/Alice_Master_Analysis[[#This Row],[Sortie Revenue]]</f>
        <v>1.1567729513960878E-2</v>
      </c>
    </row>
    <row r="59" spans="1:14" x14ac:dyDescent="0.2">
      <c r="A59" s="69" t="s">
        <v>60</v>
      </c>
      <c r="B59">
        <v>62</v>
      </c>
      <c r="C59">
        <v>99.158333333333331</v>
      </c>
      <c r="D59">
        <v>20.855</v>
      </c>
      <c r="E59">
        <v>891.96572483829038</v>
      </c>
      <c r="F59" s="69" t="s">
        <v>2</v>
      </c>
      <c r="G59">
        <v>33.080980766435879</v>
      </c>
      <c r="H59">
        <v>665.57833333333326</v>
      </c>
      <c r="I59" s="7">
        <f>Alice_Master_Analysis[[#This Row],[Payload]]*val_yield_rate</f>
        <v>2006.9228808861533</v>
      </c>
      <c r="J59" s="7">
        <f>Alice_Master_Analysis[[#This Row],[Net_kWh_used]]*val_elec_rate</f>
        <v>119.80409999999998</v>
      </c>
      <c r="K59" s="7">
        <f>(Alice_Master_Analysis[[#This Row],[Net_kWh_used]]/850)*(val_battery_cost/val_cycle)</f>
        <v>182.70777777777778</v>
      </c>
      <c r="L59" s="7">
        <f>Alice_Master_Analysis[[#This Row],[Energy Cost]]+Alice_Master_Analysis[[#This Row],[Battery Depreciation]]+val_ground_ops</f>
        <v>1502.5118777777777</v>
      </c>
      <c r="M59" s="7">
        <f>Alice_Master_Analysis[[#This Row],[Sortie Revenue]]-Alice_Master_Analysis[[#This Row],[Total OpEx per Sortie]]</f>
        <v>504.41100310837555</v>
      </c>
      <c r="N59" s="70">
        <f>Alice_Master_Analysis[[#This Row],[Net Profit]]/Alice_Master_Analysis[[#This Row],[Sortie Revenue]]</f>
        <v>0.25133551862523673</v>
      </c>
    </row>
    <row r="60" spans="1:14" x14ac:dyDescent="0.2">
      <c r="A60" s="69" t="s">
        <v>61</v>
      </c>
      <c r="B60">
        <v>61</v>
      </c>
      <c r="C60">
        <v>99.146000000000001</v>
      </c>
      <c r="D60">
        <v>20.636000000000003</v>
      </c>
      <c r="E60">
        <v>590.4545778210761</v>
      </c>
      <c r="F60" s="69" t="s">
        <v>5</v>
      </c>
      <c r="G60">
        <v>6.8818771996199839</v>
      </c>
      <c r="H60">
        <v>667.33499999999992</v>
      </c>
      <c r="I60" s="7">
        <f>Alice_Master_Analysis[[#This Row],[Payload]]*val_yield_rate</f>
        <v>1328.5228000974212</v>
      </c>
      <c r="J60" s="7">
        <f>Alice_Master_Analysis[[#This Row],[Net_kWh_used]]*val_elec_rate</f>
        <v>120.12029999999999</v>
      </c>
      <c r="K60" s="7">
        <f>(Alice_Master_Analysis[[#This Row],[Net_kWh_used]]/850)*(val_battery_cost/val_cycle)</f>
        <v>183.19</v>
      </c>
      <c r="L60" s="7">
        <f>Alice_Master_Analysis[[#This Row],[Energy Cost]]+Alice_Master_Analysis[[#This Row],[Battery Depreciation]]+val_ground_ops</f>
        <v>1503.3103000000001</v>
      </c>
      <c r="M60" s="7">
        <f>Alice_Master_Analysis[[#This Row],[Sortie Revenue]]-Alice_Master_Analysis[[#This Row],[Total OpEx per Sortie]]</f>
        <v>-174.78749990257893</v>
      </c>
      <c r="N60" s="70">
        <f>Alice_Master_Analysis[[#This Row],[Net Profit]]/Alice_Master_Analysis[[#This Row],[Sortie Revenue]]</f>
        <v>-0.1315652993608854</v>
      </c>
    </row>
    <row r="61" spans="1:14" x14ac:dyDescent="0.2">
      <c r="A61" s="69" t="s">
        <v>62</v>
      </c>
      <c r="B61">
        <v>61</v>
      </c>
      <c r="C61">
        <v>99.147499999999994</v>
      </c>
      <c r="D61">
        <v>20.818499999999997</v>
      </c>
      <c r="E61">
        <v>1150.6606615265289</v>
      </c>
      <c r="F61" s="69" t="s">
        <v>2</v>
      </c>
      <c r="G61">
        <v>31.410817430592974</v>
      </c>
      <c r="H61">
        <v>665.79649999999992</v>
      </c>
      <c r="I61" s="7">
        <f>Alice_Master_Analysis[[#This Row],[Payload]]*val_yield_rate</f>
        <v>2588.9864884346898</v>
      </c>
      <c r="J61" s="7">
        <f>Alice_Master_Analysis[[#This Row],[Net_kWh_used]]*val_elec_rate</f>
        <v>119.84336999999998</v>
      </c>
      <c r="K61" s="7">
        <f>(Alice_Master_Analysis[[#This Row],[Net_kWh_used]]/850)*(val_battery_cost/val_cycle)</f>
        <v>182.76766666666666</v>
      </c>
      <c r="L61" s="7">
        <f>Alice_Master_Analysis[[#This Row],[Energy Cost]]+Alice_Master_Analysis[[#This Row],[Battery Depreciation]]+val_ground_ops</f>
        <v>1502.6110366666667</v>
      </c>
      <c r="M61" s="7">
        <f>Alice_Master_Analysis[[#This Row],[Sortie Revenue]]-Alice_Master_Analysis[[#This Row],[Total OpEx per Sortie]]</f>
        <v>1086.3754517680231</v>
      </c>
      <c r="N61" s="70">
        <f>Alice_Master_Analysis[[#This Row],[Net Profit]]/Alice_Master_Analysis[[#This Row],[Sortie Revenue]]</f>
        <v>0.41961418362783715</v>
      </c>
    </row>
    <row r="62" spans="1:14" x14ac:dyDescent="0.2">
      <c r="A62" s="69" t="s">
        <v>63</v>
      </c>
      <c r="B62">
        <v>59</v>
      </c>
      <c r="C62">
        <v>99.124166666666667</v>
      </c>
      <c r="D62">
        <v>20.616833333333332</v>
      </c>
      <c r="E62">
        <v>1277.354579378964</v>
      </c>
      <c r="F62" s="69" t="s">
        <v>2</v>
      </c>
      <c r="G62">
        <v>13.389156635962662</v>
      </c>
      <c r="H62">
        <v>667.3123333333333</v>
      </c>
      <c r="I62" s="7">
        <f>Alice_Master_Analysis[[#This Row],[Payload]]*val_yield_rate</f>
        <v>2874.0478036026689</v>
      </c>
      <c r="J62" s="7">
        <f>Alice_Master_Analysis[[#This Row],[Net_kWh_used]]*val_elec_rate</f>
        <v>120.11621999999998</v>
      </c>
      <c r="K62" s="7">
        <f>(Alice_Master_Analysis[[#This Row],[Net_kWh_used]]/850)*(val_battery_cost/val_cycle)</f>
        <v>183.18377777777778</v>
      </c>
      <c r="L62" s="7">
        <f>Alice_Master_Analysis[[#This Row],[Energy Cost]]+Alice_Master_Analysis[[#This Row],[Battery Depreciation]]+val_ground_ops</f>
        <v>1503.2999977777777</v>
      </c>
      <c r="M62" s="7">
        <f>Alice_Master_Analysis[[#This Row],[Sortie Revenue]]-Alice_Master_Analysis[[#This Row],[Total OpEx per Sortie]]</f>
        <v>1370.7478058248912</v>
      </c>
      <c r="N62" s="70">
        <f>Alice_Master_Analysis[[#This Row],[Net Profit]]/Alice_Master_Analysis[[#This Row],[Sortie Revenue]]</f>
        <v>0.47693980737085689</v>
      </c>
    </row>
    <row r="63" spans="1:14" x14ac:dyDescent="0.2">
      <c r="A63" s="69" t="s">
        <v>64</v>
      </c>
      <c r="B63">
        <v>63</v>
      </c>
      <c r="C63">
        <v>99.169000000000011</v>
      </c>
      <c r="D63">
        <v>20.914333333333332</v>
      </c>
      <c r="E63">
        <v>1042.6980635477919</v>
      </c>
      <c r="F63" s="69" t="s">
        <v>2</v>
      </c>
      <c r="G63">
        <v>26.615291529678977</v>
      </c>
      <c r="H63">
        <v>665.16466666666679</v>
      </c>
      <c r="I63" s="7">
        <f>Alice_Master_Analysis[[#This Row],[Payload]]*val_yield_rate</f>
        <v>2346.0706429825318</v>
      </c>
      <c r="J63" s="7">
        <f>Alice_Master_Analysis[[#This Row],[Net_kWh_used]]*val_elec_rate</f>
        <v>119.72964000000002</v>
      </c>
      <c r="K63" s="7">
        <f>(Alice_Master_Analysis[[#This Row],[Net_kWh_used]]/850)*(val_battery_cost/val_cycle)</f>
        <v>182.59422222222227</v>
      </c>
      <c r="L63" s="7">
        <f>Alice_Master_Analysis[[#This Row],[Energy Cost]]+Alice_Master_Analysis[[#This Row],[Battery Depreciation]]+val_ground_ops</f>
        <v>1502.3238622222223</v>
      </c>
      <c r="M63" s="7">
        <f>Alice_Master_Analysis[[#This Row],[Sortie Revenue]]-Alice_Master_Analysis[[#This Row],[Total OpEx per Sortie]]</f>
        <v>843.74678076030955</v>
      </c>
      <c r="N63" s="70">
        <f>Alice_Master_Analysis[[#This Row],[Net Profit]]/Alice_Master_Analysis[[#This Row],[Sortie Revenue]]</f>
        <v>0.35964252964167537</v>
      </c>
    </row>
    <row r="64" spans="1:14" x14ac:dyDescent="0.2">
      <c r="A64" s="69" t="s">
        <v>65</v>
      </c>
      <c r="B64">
        <v>57</v>
      </c>
      <c r="C64">
        <v>99.100833333333341</v>
      </c>
      <c r="D64">
        <v>20.622499999999999</v>
      </c>
      <c r="E64">
        <v>2157.4750183038582</v>
      </c>
      <c r="F64" s="69" t="s">
        <v>5</v>
      </c>
      <c r="G64">
        <v>26.676485538044737</v>
      </c>
      <c r="H64">
        <v>667.06583333333333</v>
      </c>
      <c r="I64" s="7">
        <f>Alice_Master_Analysis[[#This Row],[Payload]]*val_yield_rate</f>
        <v>4854.3187911836812</v>
      </c>
      <c r="J64" s="7">
        <f>Alice_Master_Analysis[[#This Row],[Net_kWh_used]]*val_elec_rate</f>
        <v>120.07185</v>
      </c>
      <c r="K64" s="7">
        <f>(Alice_Master_Analysis[[#This Row],[Net_kWh_used]]/850)*(val_battery_cost/val_cycle)</f>
        <v>183.11611111111111</v>
      </c>
      <c r="L64" s="7">
        <f>Alice_Master_Analysis[[#This Row],[Energy Cost]]+Alice_Master_Analysis[[#This Row],[Battery Depreciation]]+val_ground_ops</f>
        <v>1503.1879611111112</v>
      </c>
      <c r="M64" s="7">
        <f>Alice_Master_Analysis[[#This Row],[Sortie Revenue]]-Alice_Master_Analysis[[#This Row],[Total OpEx per Sortie]]</f>
        <v>3351.13083007257</v>
      </c>
      <c r="N64" s="70">
        <f>Alice_Master_Analysis[[#This Row],[Net Profit]]/Alice_Master_Analysis[[#This Row],[Sortie Revenue]]</f>
        <v>0.69034008152880855</v>
      </c>
    </row>
    <row r="65" spans="1:14" x14ac:dyDescent="0.2">
      <c r="A65" s="69" t="s">
        <v>66</v>
      </c>
      <c r="B65">
        <v>62</v>
      </c>
      <c r="C65">
        <v>99.153666666666666</v>
      </c>
      <c r="D65">
        <v>20.279166666666665</v>
      </c>
      <c r="E65">
        <v>1213.5066533871786</v>
      </c>
      <c r="F65" s="69" t="s">
        <v>2</v>
      </c>
      <c r="G65">
        <v>21.788734203737924</v>
      </c>
      <c r="H65">
        <v>670.43324999999993</v>
      </c>
      <c r="I65" s="7">
        <f>Alice_Master_Analysis[[#This Row],[Payload]]*val_yield_rate</f>
        <v>2730.3899701211521</v>
      </c>
      <c r="J65" s="7">
        <f>Alice_Master_Analysis[[#This Row],[Net_kWh_used]]*val_elec_rate</f>
        <v>120.67798499999998</v>
      </c>
      <c r="K65" s="7">
        <f>(Alice_Master_Analysis[[#This Row],[Net_kWh_used]]/850)*(val_battery_cost/val_cycle)</f>
        <v>184.04049999999998</v>
      </c>
      <c r="L65" s="7">
        <f>Alice_Master_Analysis[[#This Row],[Energy Cost]]+Alice_Master_Analysis[[#This Row],[Battery Depreciation]]+val_ground_ops</f>
        <v>1504.7184849999999</v>
      </c>
      <c r="M65" s="7">
        <f>Alice_Master_Analysis[[#This Row],[Sortie Revenue]]-Alice_Master_Analysis[[#This Row],[Total OpEx per Sortie]]</f>
        <v>1225.6714851211523</v>
      </c>
      <c r="N65" s="70">
        <f>Alice_Master_Analysis[[#This Row],[Net Profit]]/Alice_Master_Analysis[[#This Row],[Sortie Revenue]]</f>
        <v>0.44889979033535898</v>
      </c>
    </row>
    <row r="66" spans="1:14" x14ac:dyDescent="0.2">
      <c r="A66" s="69" t="s">
        <v>67</v>
      </c>
      <c r="B66">
        <v>56</v>
      </c>
      <c r="C66">
        <v>99.094999999999999</v>
      </c>
      <c r="D66">
        <v>21.34</v>
      </c>
      <c r="E66">
        <v>1061.8690193747616</v>
      </c>
      <c r="F66" s="69" t="s">
        <v>2</v>
      </c>
      <c r="G66">
        <v>-0.48551149727958481</v>
      </c>
      <c r="H66">
        <v>660.91750000000002</v>
      </c>
      <c r="I66" s="7">
        <f>Alice_Master_Analysis[[#This Row],[Payload]]*val_yield_rate</f>
        <v>2389.2052935932134</v>
      </c>
      <c r="J66" s="7">
        <f>Alice_Master_Analysis[[#This Row],[Net_kWh_used]]*val_elec_rate</f>
        <v>118.96514999999999</v>
      </c>
      <c r="K66" s="7">
        <f>(Alice_Master_Analysis[[#This Row],[Net_kWh_used]]/850)*(val_battery_cost/val_cycle)</f>
        <v>181.42833333333337</v>
      </c>
      <c r="L66" s="7">
        <f>Alice_Master_Analysis[[#This Row],[Energy Cost]]+Alice_Master_Analysis[[#This Row],[Battery Depreciation]]+val_ground_ops</f>
        <v>1500.3934833333333</v>
      </c>
      <c r="M66" s="7">
        <f>Alice_Master_Analysis[[#This Row],[Sortie Revenue]]-Alice_Master_Analysis[[#This Row],[Total OpEx per Sortie]]</f>
        <v>888.81181025988008</v>
      </c>
      <c r="N66" s="70">
        <f>Alice_Master_Analysis[[#This Row],[Net Profit]]/Alice_Master_Analysis[[#This Row],[Sortie Revenue]]</f>
        <v>0.37201148542709089</v>
      </c>
    </row>
    <row r="67" spans="1:14" x14ac:dyDescent="0.2">
      <c r="A67" s="69" t="s">
        <v>68</v>
      </c>
      <c r="B67">
        <v>57</v>
      </c>
      <c r="C67">
        <v>99.105000000000004</v>
      </c>
      <c r="D67">
        <v>21.081500000000002</v>
      </c>
      <c r="E67">
        <v>1585.392166316497</v>
      </c>
      <c r="F67" s="69" t="s">
        <v>2</v>
      </c>
      <c r="G67">
        <v>36.7651247794619</v>
      </c>
      <c r="H67">
        <v>663.19974999999999</v>
      </c>
      <c r="I67" s="7">
        <f>Alice_Master_Analysis[[#This Row],[Payload]]*val_yield_rate</f>
        <v>3567.1323742121181</v>
      </c>
      <c r="J67" s="7">
        <f>Alice_Master_Analysis[[#This Row],[Net_kWh_used]]*val_elec_rate</f>
        <v>119.37595499999999</v>
      </c>
      <c r="K67" s="7">
        <f>(Alice_Master_Analysis[[#This Row],[Net_kWh_used]]/850)*(val_battery_cost/val_cycle)</f>
        <v>182.05483333333333</v>
      </c>
      <c r="L67" s="7">
        <f>Alice_Master_Analysis[[#This Row],[Energy Cost]]+Alice_Master_Analysis[[#This Row],[Battery Depreciation]]+val_ground_ops</f>
        <v>1501.4307883333333</v>
      </c>
      <c r="M67" s="7">
        <f>Alice_Master_Analysis[[#This Row],[Sortie Revenue]]-Alice_Master_Analysis[[#This Row],[Total OpEx per Sortie]]</f>
        <v>2065.7015858787845</v>
      </c>
      <c r="N67" s="70">
        <f>Alice_Master_Analysis[[#This Row],[Net Profit]]/Alice_Master_Analysis[[#This Row],[Sortie Revenue]]</f>
        <v>0.57909305547850365</v>
      </c>
    </row>
    <row r="68" spans="1:14" x14ac:dyDescent="0.2">
      <c r="A68" s="69" t="s">
        <v>69</v>
      </c>
      <c r="B68">
        <v>61</v>
      </c>
      <c r="C68">
        <v>99.147166666666664</v>
      </c>
      <c r="D68">
        <v>20.755333333333333</v>
      </c>
      <c r="E68">
        <v>781.84844994952527</v>
      </c>
      <c r="F68" s="69" t="s">
        <v>5</v>
      </c>
      <c r="G68">
        <v>11.039003248586791</v>
      </c>
      <c r="H68">
        <v>666.33058333333327</v>
      </c>
      <c r="I68" s="7">
        <f>Alice_Master_Analysis[[#This Row],[Payload]]*val_yield_rate</f>
        <v>1759.1590123864319</v>
      </c>
      <c r="J68" s="7">
        <f>Alice_Master_Analysis[[#This Row],[Net_kWh_used]]*val_elec_rate</f>
        <v>119.93950499999998</v>
      </c>
      <c r="K68" s="7">
        <f>(Alice_Master_Analysis[[#This Row],[Net_kWh_used]]/850)*(val_battery_cost/val_cycle)</f>
        <v>182.91427777777778</v>
      </c>
      <c r="L68" s="7">
        <f>Alice_Master_Analysis[[#This Row],[Energy Cost]]+Alice_Master_Analysis[[#This Row],[Battery Depreciation]]+val_ground_ops</f>
        <v>1502.8537827777777</v>
      </c>
      <c r="M68" s="7">
        <f>Alice_Master_Analysis[[#This Row],[Sortie Revenue]]-Alice_Master_Analysis[[#This Row],[Total OpEx per Sortie]]</f>
        <v>256.30522960865414</v>
      </c>
      <c r="N68" s="70">
        <f>Alice_Master_Analysis[[#This Row],[Net Profit]]/Alice_Master_Analysis[[#This Row],[Sortie Revenue]]</f>
        <v>0.14569759061232149</v>
      </c>
    </row>
    <row r="69" spans="1:14" x14ac:dyDescent="0.2">
      <c r="A69" s="69" t="s">
        <v>70</v>
      </c>
      <c r="B69">
        <v>53</v>
      </c>
      <c r="C69">
        <v>99.046000000000006</v>
      </c>
      <c r="D69">
        <v>20.367833333333333</v>
      </c>
      <c r="E69">
        <v>2104.393961508079</v>
      </c>
      <c r="F69" s="69" t="s">
        <v>5</v>
      </c>
      <c r="G69">
        <v>4.3259255199927118</v>
      </c>
      <c r="H69">
        <v>668.76441666666665</v>
      </c>
      <c r="I69" s="7">
        <f>Alice_Master_Analysis[[#This Row],[Payload]]*val_yield_rate</f>
        <v>4734.8864133931775</v>
      </c>
      <c r="J69" s="7">
        <f>Alice_Master_Analysis[[#This Row],[Net_kWh_used]]*val_elec_rate</f>
        <v>120.37759499999999</v>
      </c>
      <c r="K69" s="7">
        <f>(Alice_Master_Analysis[[#This Row],[Net_kWh_used]]/850)*(val_battery_cost/val_cycle)</f>
        <v>183.58238888888889</v>
      </c>
      <c r="L69" s="7">
        <f>Alice_Master_Analysis[[#This Row],[Energy Cost]]+Alice_Master_Analysis[[#This Row],[Battery Depreciation]]+val_ground_ops</f>
        <v>1503.9599838888889</v>
      </c>
      <c r="M69" s="7">
        <f>Alice_Master_Analysis[[#This Row],[Sortie Revenue]]-Alice_Master_Analysis[[#This Row],[Total OpEx per Sortie]]</f>
        <v>3230.9264295042885</v>
      </c>
      <c r="N69" s="70">
        <f>Alice_Master_Analysis[[#This Row],[Net Profit]]/Alice_Master_Analysis[[#This Row],[Sortie Revenue]]</f>
        <v>0.68236619581099922</v>
      </c>
    </row>
    <row r="70" spans="1:14" x14ac:dyDescent="0.2">
      <c r="A70" s="69" t="s">
        <v>71</v>
      </c>
      <c r="B70">
        <v>58</v>
      </c>
      <c r="C70">
        <v>99.112499999999997</v>
      </c>
      <c r="D70">
        <v>20.613499999999998</v>
      </c>
      <c r="E70">
        <v>649.10128735954163</v>
      </c>
      <c r="F70" s="69" t="s">
        <v>5</v>
      </c>
      <c r="G70">
        <v>-2.9612429222618042</v>
      </c>
      <c r="H70">
        <v>667.24149999999997</v>
      </c>
      <c r="I70" s="7">
        <f>Alice_Master_Analysis[[#This Row],[Payload]]*val_yield_rate</f>
        <v>1460.4778965589687</v>
      </c>
      <c r="J70" s="7">
        <f>Alice_Master_Analysis[[#This Row],[Net_kWh_used]]*val_elec_rate</f>
        <v>120.10346999999999</v>
      </c>
      <c r="K70" s="7">
        <f>(Alice_Master_Analysis[[#This Row],[Net_kWh_used]]/850)*(val_battery_cost/val_cycle)</f>
        <v>183.16433333333333</v>
      </c>
      <c r="L70" s="7">
        <f>Alice_Master_Analysis[[#This Row],[Energy Cost]]+Alice_Master_Analysis[[#This Row],[Battery Depreciation]]+val_ground_ops</f>
        <v>1503.2678033333332</v>
      </c>
      <c r="M70" s="7">
        <f>Alice_Master_Analysis[[#This Row],[Sortie Revenue]]-Alice_Master_Analysis[[#This Row],[Total OpEx per Sortie]]</f>
        <v>-42.789906774364454</v>
      </c>
      <c r="N70" s="70">
        <f>Alice_Master_Analysis[[#This Row],[Net Profit]]/Alice_Master_Analysis[[#This Row],[Sortie Revenue]]</f>
        <v>-2.9298565130757358E-2</v>
      </c>
    </row>
    <row r="71" spans="1:14" x14ac:dyDescent="0.2">
      <c r="A71" s="69" t="s">
        <v>72</v>
      </c>
      <c r="B71">
        <v>56</v>
      </c>
      <c r="C71">
        <v>99.085000000000008</v>
      </c>
      <c r="D71">
        <v>20.271666666666665</v>
      </c>
      <c r="E71">
        <v>2473.7738732010348</v>
      </c>
      <c r="F71" s="69" t="s">
        <v>2</v>
      </c>
      <c r="G71">
        <v>24.54464715941209</v>
      </c>
      <c r="H71">
        <v>669.91333333333341</v>
      </c>
      <c r="I71" s="7">
        <f>Alice_Master_Analysis[[#This Row],[Payload]]*val_yield_rate</f>
        <v>5565.9912147023279</v>
      </c>
      <c r="J71" s="7">
        <f>Alice_Master_Analysis[[#This Row],[Net_kWh_used]]*val_elec_rate</f>
        <v>120.58440000000002</v>
      </c>
      <c r="K71" s="7">
        <f>(Alice_Master_Analysis[[#This Row],[Net_kWh_used]]/850)*(val_battery_cost/val_cycle)</f>
        <v>183.8977777777778</v>
      </c>
      <c r="L71" s="7">
        <f>Alice_Master_Analysis[[#This Row],[Energy Cost]]+Alice_Master_Analysis[[#This Row],[Battery Depreciation]]+val_ground_ops</f>
        <v>1504.4821777777779</v>
      </c>
      <c r="M71" s="7">
        <f>Alice_Master_Analysis[[#This Row],[Sortie Revenue]]-Alice_Master_Analysis[[#This Row],[Total OpEx per Sortie]]</f>
        <v>4061.5090369245499</v>
      </c>
      <c r="N71" s="70">
        <f>Alice_Master_Analysis[[#This Row],[Net Profit]]/Alice_Master_Analysis[[#This Row],[Sortie Revenue]]</f>
        <v>0.7297009427891743</v>
      </c>
    </row>
    <row r="72" spans="1:14" x14ac:dyDescent="0.2">
      <c r="A72" s="69" t="s">
        <v>73</v>
      </c>
      <c r="B72">
        <v>57</v>
      </c>
      <c r="C72">
        <v>99.101000000000013</v>
      </c>
      <c r="D72">
        <v>20.642499999999998</v>
      </c>
      <c r="E72">
        <v>2044.4895385933148</v>
      </c>
      <c r="F72" s="69" t="s">
        <v>5</v>
      </c>
      <c r="G72">
        <v>28.878218092114121</v>
      </c>
      <c r="H72">
        <v>666.8972500000001</v>
      </c>
      <c r="I72" s="7">
        <f>Alice_Master_Analysis[[#This Row],[Payload]]*val_yield_rate</f>
        <v>4600.1014618349582</v>
      </c>
      <c r="J72" s="7">
        <f>Alice_Master_Analysis[[#This Row],[Net_kWh_used]]*val_elec_rate</f>
        <v>120.04150500000002</v>
      </c>
      <c r="K72" s="7">
        <f>(Alice_Master_Analysis[[#This Row],[Net_kWh_used]]/850)*(val_battery_cost/val_cycle)</f>
        <v>183.06983333333335</v>
      </c>
      <c r="L72" s="7">
        <f>Alice_Master_Analysis[[#This Row],[Energy Cost]]+Alice_Master_Analysis[[#This Row],[Battery Depreciation]]+val_ground_ops</f>
        <v>1503.1113383333334</v>
      </c>
      <c r="M72" s="7">
        <f>Alice_Master_Analysis[[#This Row],[Sortie Revenue]]-Alice_Master_Analysis[[#This Row],[Total OpEx per Sortie]]</f>
        <v>3096.990123501625</v>
      </c>
      <c r="N72" s="70">
        <f>Alice_Master_Analysis[[#This Row],[Net Profit]]/Alice_Master_Analysis[[#This Row],[Sortie Revenue]]</f>
        <v>0.67324387281367715</v>
      </c>
    </row>
    <row r="73" spans="1:14" x14ac:dyDescent="0.2">
      <c r="A73" s="69" t="s">
        <v>74</v>
      </c>
      <c r="B73">
        <v>56</v>
      </c>
      <c r="C73">
        <v>99.093499999999992</v>
      </c>
      <c r="D73">
        <v>21.208000000000002</v>
      </c>
      <c r="E73">
        <v>897.43136306834481</v>
      </c>
      <c r="F73" s="69" t="s">
        <v>5</v>
      </c>
      <c r="G73">
        <v>-4.1706085536071926</v>
      </c>
      <c r="H73">
        <v>662.02674999999999</v>
      </c>
      <c r="I73" s="7">
        <f>Alice_Master_Analysis[[#This Row],[Payload]]*val_yield_rate</f>
        <v>2019.2205669037758</v>
      </c>
      <c r="J73" s="7">
        <f>Alice_Master_Analysis[[#This Row],[Net_kWh_used]]*val_elec_rate</f>
        <v>119.16481499999999</v>
      </c>
      <c r="K73" s="7">
        <f>(Alice_Master_Analysis[[#This Row],[Net_kWh_used]]/850)*(val_battery_cost/val_cycle)</f>
        <v>181.73283333333333</v>
      </c>
      <c r="L73" s="7">
        <f>Alice_Master_Analysis[[#This Row],[Energy Cost]]+Alice_Master_Analysis[[#This Row],[Battery Depreciation]]+val_ground_ops</f>
        <v>1500.8976483333333</v>
      </c>
      <c r="M73" s="7">
        <f>Alice_Master_Analysis[[#This Row],[Sortie Revenue]]-Alice_Master_Analysis[[#This Row],[Total OpEx per Sortie]]</f>
        <v>518.32291857044243</v>
      </c>
      <c r="N73" s="70">
        <f>Alice_Master_Analysis[[#This Row],[Net Profit]]/Alice_Master_Analysis[[#This Row],[Sortie Revenue]]</f>
        <v>0.25669455188108858</v>
      </c>
    </row>
    <row r="74" spans="1:14" x14ac:dyDescent="0.2">
      <c r="A74" s="69" t="s">
        <v>75</v>
      </c>
      <c r="B74">
        <v>68</v>
      </c>
      <c r="C74">
        <v>99.192833333333326</v>
      </c>
      <c r="D74">
        <v>20.525833333333331</v>
      </c>
      <c r="E74">
        <v>511.04423424720483</v>
      </c>
      <c r="F74" s="69" t="s">
        <v>2</v>
      </c>
      <c r="G74">
        <v>20.604652914964049</v>
      </c>
      <c r="H74">
        <v>668.66949999999997</v>
      </c>
      <c r="I74" s="7">
        <f>Alice_Master_Analysis[[#This Row],[Payload]]*val_yield_rate</f>
        <v>1149.8495270562109</v>
      </c>
      <c r="J74" s="7">
        <f>Alice_Master_Analysis[[#This Row],[Net_kWh_used]]*val_elec_rate</f>
        <v>120.36050999999999</v>
      </c>
      <c r="K74" s="7">
        <f>(Alice_Master_Analysis[[#This Row],[Net_kWh_used]]/850)*(val_battery_cost/val_cycle)</f>
        <v>183.55633333333333</v>
      </c>
      <c r="L74" s="7">
        <f>Alice_Master_Analysis[[#This Row],[Energy Cost]]+Alice_Master_Analysis[[#This Row],[Battery Depreciation]]+val_ground_ops</f>
        <v>1503.9168433333334</v>
      </c>
      <c r="M74" s="7">
        <f>Alice_Master_Analysis[[#This Row],[Sortie Revenue]]-Alice_Master_Analysis[[#This Row],[Total OpEx per Sortie]]</f>
        <v>-354.06731627712247</v>
      </c>
      <c r="N74" s="70">
        <f>Alice_Master_Analysis[[#This Row],[Net Profit]]/Alice_Master_Analysis[[#This Row],[Sortie Revenue]]</f>
        <v>-0.30792491360464225</v>
      </c>
    </row>
    <row r="75" spans="1:14" x14ac:dyDescent="0.2">
      <c r="A75" s="69" t="s">
        <v>76</v>
      </c>
      <c r="B75">
        <v>53</v>
      </c>
      <c r="C75">
        <v>99.0505</v>
      </c>
      <c r="D75">
        <v>20.830499999999997</v>
      </c>
      <c r="E75">
        <v>2130.9228569096681</v>
      </c>
      <c r="F75" s="69" t="s">
        <v>5</v>
      </c>
      <c r="G75">
        <v>6.3247887598968973</v>
      </c>
      <c r="H75">
        <v>664.87</v>
      </c>
      <c r="I75" s="7">
        <f>Alice_Master_Analysis[[#This Row],[Payload]]*val_yield_rate</f>
        <v>4794.5764280467529</v>
      </c>
      <c r="J75" s="7">
        <f>Alice_Master_Analysis[[#This Row],[Net_kWh_used]]*val_elec_rate</f>
        <v>119.67659999999999</v>
      </c>
      <c r="K75" s="7">
        <f>(Alice_Master_Analysis[[#This Row],[Net_kWh_used]]/850)*(val_battery_cost/val_cycle)</f>
        <v>182.51333333333335</v>
      </c>
      <c r="L75" s="7">
        <f>Alice_Master_Analysis[[#This Row],[Energy Cost]]+Alice_Master_Analysis[[#This Row],[Battery Depreciation]]+val_ground_ops</f>
        <v>1502.1899333333333</v>
      </c>
      <c r="M75" s="7">
        <f>Alice_Master_Analysis[[#This Row],[Sortie Revenue]]-Alice_Master_Analysis[[#This Row],[Total OpEx per Sortie]]</f>
        <v>3292.3864947134198</v>
      </c>
      <c r="N75" s="70">
        <f>Alice_Master_Analysis[[#This Row],[Net Profit]]/Alice_Master_Analysis[[#This Row],[Sortie Revenue]]</f>
        <v>0.68668975124768106</v>
      </c>
    </row>
    <row r="76" spans="1:14" x14ac:dyDescent="0.2">
      <c r="A76" s="69" t="s">
        <v>77</v>
      </c>
      <c r="B76">
        <v>58</v>
      </c>
      <c r="C76">
        <v>99.113833333333332</v>
      </c>
      <c r="D76">
        <v>20.755166666666664</v>
      </c>
      <c r="E76">
        <v>1913.7146876952345</v>
      </c>
      <c r="F76" s="69" t="s">
        <v>2</v>
      </c>
      <c r="G76">
        <v>27.258639520472492</v>
      </c>
      <c r="H76">
        <v>666.04866666666669</v>
      </c>
      <c r="I76" s="7">
        <f>Alice_Master_Analysis[[#This Row],[Payload]]*val_yield_rate</f>
        <v>4305.8580473142774</v>
      </c>
      <c r="J76" s="7">
        <f>Alice_Master_Analysis[[#This Row],[Net_kWh_used]]*val_elec_rate</f>
        <v>119.88876</v>
      </c>
      <c r="K76" s="7">
        <f>(Alice_Master_Analysis[[#This Row],[Net_kWh_used]]/850)*(val_battery_cost/val_cycle)</f>
        <v>182.83688888888889</v>
      </c>
      <c r="L76" s="7">
        <f>Alice_Master_Analysis[[#This Row],[Energy Cost]]+Alice_Master_Analysis[[#This Row],[Battery Depreciation]]+val_ground_ops</f>
        <v>1502.7256488888888</v>
      </c>
      <c r="M76" s="7">
        <f>Alice_Master_Analysis[[#This Row],[Sortie Revenue]]-Alice_Master_Analysis[[#This Row],[Total OpEx per Sortie]]</f>
        <v>2803.1323984253886</v>
      </c>
      <c r="N76" s="70">
        <f>Alice_Master_Analysis[[#This Row],[Net Profit]]/Alice_Master_Analysis[[#This Row],[Sortie Revenue]]</f>
        <v>0.65100436837991116</v>
      </c>
    </row>
    <row r="77" spans="1:14" x14ac:dyDescent="0.2">
      <c r="A77" s="69" t="s">
        <v>78</v>
      </c>
      <c r="B77">
        <v>53</v>
      </c>
      <c r="C77">
        <v>99.053166666666655</v>
      </c>
      <c r="D77">
        <v>21.098833333333335</v>
      </c>
      <c r="E77">
        <v>1958.0143360819743</v>
      </c>
      <c r="F77" s="69" t="s">
        <v>2</v>
      </c>
      <c r="G77">
        <v>3.7183214502495718</v>
      </c>
      <c r="H77">
        <v>662.61183333333327</v>
      </c>
      <c r="I77" s="7">
        <f>Alice_Master_Analysis[[#This Row],[Payload]]*val_yield_rate</f>
        <v>4405.5322561844423</v>
      </c>
      <c r="J77" s="7">
        <f>Alice_Master_Analysis[[#This Row],[Net_kWh_used]]*val_elec_rate</f>
        <v>119.27012999999998</v>
      </c>
      <c r="K77" s="7">
        <f>(Alice_Master_Analysis[[#This Row],[Net_kWh_used]]/850)*(val_battery_cost/val_cycle)</f>
        <v>181.89344444444444</v>
      </c>
      <c r="L77" s="7">
        <f>Alice_Master_Analysis[[#This Row],[Energy Cost]]+Alice_Master_Analysis[[#This Row],[Battery Depreciation]]+val_ground_ops</f>
        <v>1501.1635744444443</v>
      </c>
      <c r="M77" s="7">
        <f>Alice_Master_Analysis[[#This Row],[Sortie Revenue]]-Alice_Master_Analysis[[#This Row],[Total OpEx per Sortie]]</f>
        <v>2904.368681739998</v>
      </c>
      <c r="N77" s="70">
        <f>Alice_Master_Analysis[[#This Row],[Net Profit]]/Alice_Master_Analysis[[#This Row],[Sortie Revenue]]</f>
        <v>0.65925488972708668</v>
      </c>
    </row>
    <row r="78" spans="1:14" x14ac:dyDescent="0.2">
      <c r="A78" s="69" t="s">
        <v>79</v>
      </c>
      <c r="B78">
        <v>57</v>
      </c>
      <c r="C78">
        <v>99.09899999999999</v>
      </c>
      <c r="D78">
        <v>20.428833333333333</v>
      </c>
      <c r="E78">
        <v>2042.5406933718912</v>
      </c>
      <c r="F78" s="69" t="s">
        <v>5</v>
      </c>
      <c r="G78">
        <v>29.546886905123294</v>
      </c>
      <c r="H78">
        <v>668.69641666666666</v>
      </c>
      <c r="I78" s="7">
        <f>Alice_Master_Analysis[[#This Row],[Payload]]*val_yield_rate</f>
        <v>4595.7165600867547</v>
      </c>
      <c r="J78" s="7">
        <f>Alice_Master_Analysis[[#This Row],[Net_kWh_used]]*val_elec_rate</f>
        <v>120.36535499999999</v>
      </c>
      <c r="K78" s="7">
        <f>(Alice_Master_Analysis[[#This Row],[Net_kWh_used]]/850)*(val_battery_cost/val_cycle)</f>
        <v>183.56372222222222</v>
      </c>
      <c r="L78" s="7">
        <f>Alice_Master_Analysis[[#This Row],[Energy Cost]]+Alice_Master_Analysis[[#This Row],[Battery Depreciation]]+val_ground_ops</f>
        <v>1503.9290772222221</v>
      </c>
      <c r="M78" s="7">
        <f>Alice_Master_Analysis[[#This Row],[Sortie Revenue]]-Alice_Master_Analysis[[#This Row],[Total OpEx per Sortie]]</f>
        <v>3091.7874828645326</v>
      </c>
      <c r="N78" s="70">
        <f>Alice_Master_Analysis[[#This Row],[Net Profit]]/Alice_Master_Analysis[[#This Row],[Sortie Revenue]]</f>
        <v>0.6727541706371396</v>
      </c>
    </row>
    <row r="79" spans="1:14" x14ac:dyDescent="0.2">
      <c r="A79" s="69" t="s">
        <v>80</v>
      </c>
      <c r="B79">
        <v>63</v>
      </c>
      <c r="C79">
        <v>99.165500000000009</v>
      </c>
      <c r="D79">
        <v>20.480333333333331</v>
      </c>
      <c r="E79">
        <v>648.08930346818067</v>
      </c>
      <c r="F79" s="69" t="s">
        <v>2</v>
      </c>
      <c r="G79">
        <v>14.33676731502687</v>
      </c>
      <c r="H79">
        <v>668.82391666666672</v>
      </c>
      <c r="I79" s="7">
        <f>Alice_Master_Analysis[[#This Row],[Payload]]*val_yield_rate</f>
        <v>1458.2009328034064</v>
      </c>
      <c r="J79" s="7">
        <f>Alice_Master_Analysis[[#This Row],[Net_kWh_used]]*val_elec_rate</f>
        <v>120.388305</v>
      </c>
      <c r="K79" s="7">
        <f>(Alice_Master_Analysis[[#This Row],[Net_kWh_used]]/850)*(val_battery_cost/val_cycle)</f>
        <v>183.59872222222225</v>
      </c>
      <c r="L79" s="7">
        <f>Alice_Master_Analysis[[#This Row],[Energy Cost]]+Alice_Master_Analysis[[#This Row],[Battery Depreciation]]+val_ground_ops</f>
        <v>1503.9870272222222</v>
      </c>
      <c r="M79" s="7">
        <f>Alice_Master_Analysis[[#This Row],[Sortie Revenue]]-Alice_Master_Analysis[[#This Row],[Total OpEx per Sortie]]</f>
        <v>-45.786094418815765</v>
      </c>
      <c r="N79" s="70">
        <f>Alice_Master_Analysis[[#This Row],[Net Profit]]/Alice_Master_Analysis[[#This Row],[Sortie Revenue]]</f>
        <v>-3.1399029714506851E-2</v>
      </c>
    </row>
    <row r="80" spans="1:14" x14ac:dyDescent="0.2">
      <c r="A80" s="69" t="s">
        <v>81</v>
      </c>
      <c r="B80">
        <v>58</v>
      </c>
      <c r="C80">
        <v>99.112000000000009</v>
      </c>
      <c r="D80">
        <v>20.5335</v>
      </c>
      <c r="E80">
        <v>1216.9314570885451</v>
      </c>
      <c r="F80" s="69" t="s">
        <v>5</v>
      </c>
      <c r="G80">
        <v>41.836499436836725</v>
      </c>
      <c r="H80">
        <v>667.91725000000008</v>
      </c>
      <c r="I80" s="7">
        <f>Alice_Master_Analysis[[#This Row],[Payload]]*val_yield_rate</f>
        <v>2738.0957784492266</v>
      </c>
      <c r="J80" s="7">
        <f>Alice_Master_Analysis[[#This Row],[Net_kWh_used]]*val_elec_rate</f>
        <v>120.22510500000001</v>
      </c>
      <c r="K80" s="7">
        <f>(Alice_Master_Analysis[[#This Row],[Net_kWh_used]]/850)*(val_battery_cost/val_cycle)</f>
        <v>183.34983333333335</v>
      </c>
      <c r="L80" s="7">
        <f>Alice_Master_Analysis[[#This Row],[Energy Cost]]+Alice_Master_Analysis[[#This Row],[Battery Depreciation]]+val_ground_ops</f>
        <v>1503.5749383333334</v>
      </c>
      <c r="M80" s="7">
        <f>Alice_Master_Analysis[[#This Row],[Sortie Revenue]]-Alice_Master_Analysis[[#This Row],[Total OpEx per Sortie]]</f>
        <v>1234.5208401158932</v>
      </c>
      <c r="N80" s="70">
        <f>Alice_Master_Analysis[[#This Row],[Net Profit]]/Alice_Master_Analysis[[#This Row],[Sortie Revenue]]</f>
        <v>0.45086839176060084</v>
      </c>
    </row>
    <row r="81" spans="1:14" x14ac:dyDescent="0.2">
      <c r="A81" s="69" t="s">
        <v>82</v>
      </c>
      <c r="B81">
        <v>59</v>
      </c>
      <c r="C81">
        <v>99.122166666666672</v>
      </c>
      <c r="D81">
        <v>20.40583333333333</v>
      </c>
      <c r="E81">
        <v>731.73811905025946</v>
      </c>
      <c r="F81" s="69" t="s">
        <v>5</v>
      </c>
      <c r="G81">
        <v>1.8760472072996623</v>
      </c>
      <c r="H81">
        <v>669.08883333333335</v>
      </c>
      <c r="I81" s="7">
        <f>Alice_Master_Analysis[[#This Row],[Payload]]*val_yield_rate</f>
        <v>1646.4107678630837</v>
      </c>
      <c r="J81" s="7">
        <f>Alice_Master_Analysis[[#This Row],[Net_kWh_used]]*val_elec_rate</f>
        <v>120.43599</v>
      </c>
      <c r="K81" s="7">
        <f>(Alice_Master_Analysis[[#This Row],[Net_kWh_used]]/850)*(val_battery_cost/val_cycle)</f>
        <v>183.67144444444446</v>
      </c>
      <c r="L81" s="7">
        <f>Alice_Master_Analysis[[#This Row],[Energy Cost]]+Alice_Master_Analysis[[#This Row],[Battery Depreciation]]+val_ground_ops</f>
        <v>1504.1074344444446</v>
      </c>
      <c r="M81" s="7">
        <f>Alice_Master_Analysis[[#This Row],[Sortie Revenue]]-Alice_Master_Analysis[[#This Row],[Total OpEx per Sortie]]</f>
        <v>142.30333341863911</v>
      </c>
      <c r="N81" s="70">
        <f>Alice_Master_Analysis[[#This Row],[Net Profit]]/Alice_Master_Analysis[[#This Row],[Sortie Revenue]]</f>
        <v>8.6432460353340651E-2</v>
      </c>
    </row>
    <row r="82" spans="1:14" x14ac:dyDescent="0.2">
      <c r="A82" s="69" t="s">
        <v>83</v>
      </c>
      <c r="B82">
        <v>54</v>
      </c>
      <c r="C82">
        <v>99.0625</v>
      </c>
      <c r="D82">
        <v>20.61</v>
      </c>
      <c r="E82">
        <v>2226.2068517511871</v>
      </c>
      <c r="F82" s="69" t="s">
        <v>5</v>
      </c>
      <c r="G82">
        <v>12.053317552512926</v>
      </c>
      <c r="H82">
        <v>666.84625000000005</v>
      </c>
      <c r="I82" s="7">
        <f>Alice_Master_Analysis[[#This Row],[Payload]]*val_yield_rate</f>
        <v>5008.9654164401709</v>
      </c>
      <c r="J82" s="7">
        <f>Alice_Master_Analysis[[#This Row],[Net_kWh_used]]*val_elec_rate</f>
        <v>120.032325</v>
      </c>
      <c r="K82" s="7">
        <f>(Alice_Master_Analysis[[#This Row],[Net_kWh_used]]/850)*(val_battery_cost/val_cycle)</f>
        <v>183.05583333333334</v>
      </c>
      <c r="L82" s="7">
        <f>Alice_Master_Analysis[[#This Row],[Energy Cost]]+Alice_Master_Analysis[[#This Row],[Battery Depreciation]]+val_ground_ops</f>
        <v>1503.0881583333335</v>
      </c>
      <c r="M82" s="7">
        <f>Alice_Master_Analysis[[#This Row],[Sortie Revenue]]-Alice_Master_Analysis[[#This Row],[Total OpEx per Sortie]]</f>
        <v>3505.8772581068374</v>
      </c>
      <c r="N82" s="70">
        <f>Alice_Master_Analysis[[#This Row],[Net Profit]]/Alice_Master_Analysis[[#This Row],[Sortie Revenue]]</f>
        <v>0.69992043598464981</v>
      </c>
    </row>
    <row r="83" spans="1:14" x14ac:dyDescent="0.2">
      <c r="A83" s="69" t="s">
        <v>84</v>
      </c>
      <c r="B83">
        <v>54</v>
      </c>
      <c r="C83">
        <v>99.057000000000002</v>
      </c>
      <c r="D83">
        <v>20.036000000000001</v>
      </c>
      <c r="E83">
        <v>1746.5962536551158</v>
      </c>
      <c r="F83" s="69" t="s">
        <v>5</v>
      </c>
      <c r="G83">
        <v>0.67367606202945352</v>
      </c>
      <c r="H83">
        <v>671.67849999999999</v>
      </c>
      <c r="I83" s="7">
        <f>Alice_Master_Analysis[[#This Row],[Payload]]*val_yield_rate</f>
        <v>3929.8415707240106</v>
      </c>
      <c r="J83" s="7">
        <f>Alice_Master_Analysis[[#This Row],[Net_kWh_used]]*val_elec_rate</f>
        <v>120.90213</v>
      </c>
      <c r="K83" s="7">
        <f>(Alice_Master_Analysis[[#This Row],[Net_kWh_used]]/850)*(val_battery_cost/val_cycle)</f>
        <v>184.38233333333332</v>
      </c>
      <c r="L83" s="7">
        <f>Alice_Master_Analysis[[#This Row],[Energy Cost]]+Alice_Master_Analysis[[#This Row],[Battery Depreciation]]+val_ground_ops</f>
        <v>1505.2844633333334</v>
      </c>
      <c r="M83" s="7">
        <f>Alice_Master_Analysis[[#This Row],[Sortie Revenue]]-Alice_Master_Analysis[[#This Row],[Total OpEx per Sortie]]</f>
        <v>2424.5571073906772</v>
      </c>
      <c r="N83" s="70">
        <f>Alice_Master_Analysis[[#This Row],[Net Profit]]/Alice_Master_Analysis[[#This Row],[Sortie Revenue]]</f>
        <v>0.61696052213728081</v>
      </c>
    </row>
    <row r="84" spans="1:14" x14ac:dyDescent="0.2">
      <c r="A84" s="69" t="s">
        <v>85</v>
      </c>
      <c r="B84">
        <v>58</v>
      </c>
      <c r="C84">
        <v>99.117000000000004</v>
      </c>
      <c r="D84">
        <v>21.121833333333331</v>
      </c>
      <c r="E84">
        <v>1161.7960497052984</v>
      </c>
      <c r="F84" s="69" t="s">
        <v>2</v>
      </c>
      <c r="G84">
        <v>41.234680913928138</v>
      </c>
      <c r="H84">
        <v>662.95891666666671</v>
      </c>
      <c r="I84" s="7">
        <f>Alice_Master_Analysis[[#This Row],[Payload]]*val_yield_rate</f>
        <v>2614.0411118369216</v>
      </c>
      <c r="J84" s="7">
        <f>Alice_Master_Analysis[[#This Row],[Net_kWh_used]]*val_elec_rate</f>
        <v>119.332605</v>
      </c>
      <c r="K84" s="7">
        <f>(Alice_Master_Analysis[[#This Row],[Net_kWh_used]]/850)*(val_battery_cost/val_cycle)</f>
        <v>181.98872222222224</v>
      </c>
      <c r="L84" s="7">
        <f>Alice_Master_Analysis[[#This Row],[Energy Cost]]+Alice_Master_Analysis[[#This Row],[Battery Depreciation]]+val_ground_ops</f>
        <v>1501.3213272222222</v>
      </c>
      <c r="M84" s="7">
        <f>Alice_Master_Analysis[[#This Row],[Sortie Revenue]]-Alice_Master_Analysis[[#This Row],[Total OpEx per Sortie]]</f>
        <v>1112.7197846146994</v>
      </c>
      <c r="N84" s="70">
        <f>Alice_Master_Analysis[[#This Row],[Net Profit]]/Alice_Master_Analysis[[#This Row],[Sortie Revenue]]</f>
        <v>0.42567034603093001</v>
      </c>
    </row>
    <row r="85" spans="1:14" x14ac:dyDescent="0.2">
      <c r="A85" s="69" t="s">
        <v>86</v>
      </c>
      <c r="B85">
        <v>62</v>
      </c>
      <c r="C85">
        <v>99.156833333333324</v>
      </c>
      <c r="D85">
        <v>20.674666666666667</v>
      </c>
      <c r="E85">
        <v>627.11670057204731</v>
      </c>
      <c r="F85" s="69" t="s">
        <v>5</v>
      </c>
      <c r="G85">
        <v>38.866967669049053</v>
      </c>
      <c r="H85">
        <v>667.09841666666659</v>
      </c>
      <c r="I85" s="7">
        <f>Alice_Master_Analysis[[#This Row],[Payload]]*val_yield_rate</f>
        <v>1411.0125762871064</v>
      </c>
      <c r="J85" s="7">
        <f>Alice_Master_Analysis[[#This Row],[Net_kWh_used]]*val_elec_rate</f>
        <v>120.07771499999998</v>
      </c>
      <c r="K85" s="7">
        <f>(Alice_Master_Analysis[[#This Row],[Net_kWh_used]]/850)*(val_battery_cost/val_cycle)</f>
        <v>183.12505555555552</v>
      </c>
      <c r="L85" s="7">
        <f>Alice_Master_Analysis[[#This Row],[Energy Cost]]+Alice_Master_Analysis[[#This Row],[Battery Depreciation]]+val_ground_ops</f>
        <v>1503.2027705555556</v>
      </c>
      <c r="M85" s="7">
        <f>Alice_Master_Analysis[[#This Row],[Sortie Revenue]]-Alice_Master_Analysis[[#This Row],[Total OpEx per Sortie]]</f>
        <v>-92.190194268449204</v>
      </c>
      <c r="N85" s="70">
        <f>Alice_Master_Analysis[[#This Row],[Net Profit]]/Alice_Master_Analysis[[#This Row],[Sortie Revenue]]</f>
        <v>-6.5336196018206685E-2</v>
      </c>
    </row>
    <row r="86" spans="1:14" x14ac:dyDescent="0.2">
      <c r="A86" s="69" t="s">
        <v>87</v>
      </c>
      <c r="B86">
        <v>58</v>
      </c>
      <c r="C86">
        <v>99.116833333333332</v>
      </c>
      <c r="D86">
        <v>21.096833333333333</v>
      </c>
      <c r="E86">
        <v>1121.9646434313245</v>
      </c>
      <c r="F86" s="69" t="s">
        <v>2</v>
      </c>
      <c r="G86">
        <v>7.8970813857577804</v>
      </c>
      <c r="H86">
        <v>663.17</v>
      </c>
      <c r="I86" s="7">
        <f>Alice_Master_Analysis[[#This Row],[Payload]]*val_yield_rate</f>
        <v>2524.4204477204803</v>
      </c>
      <c r="J86" s="7">
        <f>Alice_Master_Analysis[[#This Row],[Net_kWh_used]]*val_elec_rate</f>
        <v>119.37059999999998</v>
      </c>
      <c r="K86" s="7">
        <f>(Alice_Master_Analysis[[#This Row],[Net_kWh_used]]/850)*(val_battery_cost/val_cycle)</f>
        <v>182.04666666666668</v>
      </c>
      <c r="L86" s="7">
        <f>Alice_Master_Analysis[[#This Row],[Energy Cost]]+Alice_Master_Analysis[[#This Row],[Battery Depreciation]]+val_ground_ops</f>
        <v>1501.4172666666666</v>
      </c>
      <c r="M86" s="7">
        <f>Alice_Master_Analysis[[#This Row],[Sortie Revenue]]-Alice_Master_Analysis[[#This Row],[Total OpEx per Sortie]]</f>
        <v>1023.0031810538137</v>
      </c>
      <c r="N86" s="70">
        <f>Alice_Master_Analysis[[#This Row],[Net Profit]]/Alice_Master_Analysis[[#This Row],[Sortie Revenue]]</f>
        <v>0.40524278829129778</v>
      </c>
    </row>
    <row r="87" spans="1:14" x14ac:dyDescent="0.2">
      <c r="A87" s="69" t="s">
        <v>88</v>
      </c>
      <c r="B87">
        <v>62</v>
      </c>
      <c r="C87">
        <v>99.158000000000001</v>
      </c>
      <c r="D87">
        <v>20.823666666666668</v>
      </c>
      <c r="E87">
        <v>1150.3666440534942</v>
      </c>
      <c r="F87" s="69" t="s">
        <v>5</v>
      </c>
      <c r="G87">
        <v>27.999202301708952</v>
      </c>
      <c r="H87">
        <v>665.84183333333328</v>
      </c>
      <c r="I87" s="7">
        <f>Alice_Master_Analysis[[#This Row],[Payload]]*val_yield_rate</f>
        <v>2588.3249491203619</v>
      </c>
      <c r="J87" s="7">
        <f>Alice_Master_Analysis[[#This Row],[Net_kWh_used]]*val_elec_rate</f>
        <v>119.85152999999998</v>
      </c>
      <c r="K87" s="7">
        <f>(Alice_Master_Analysis[[#This Row],[Net_kWh_used]]/850)*(val_battery_cost/val_cycle)</f>
        <v>182.7801111111111</v>
      </c>
      <c r="L87" s="7">
        <f>Alice_Master_Analysis[[#This Row],[Energy Cost]]+Alice_Master_Analysis[[#This Row],[Battery Depreciation]]+val_ground_ops</f>
        <v>1502.6316411111111</v>
      </c>
      <c r="M87" s="7">
        <f>Alice_Master_Analysis[[#This Row],[Sortie Revenue]]-Alice_Master_Analysis[[#This Row],[Total OpEx per Sortie]]</f>
        <v>1085.6933080092508</v>
      </c>
      <c r="N87" s="70">
        <f>Alice_Master_Analysis[[#This Row],[Net Profit]]/Alice_Master_Analysis[[#This Row],[Sortie Revenue]]</f>
        <v>0.41945788467488287</v>
      </c>
    </row>
    <row r="88" spans="1:14" x14ac:dyDescent="0.2">
      <c r="A88" s="69" t="s">
        <v>89</v>
      </c>
      <c r="B88">
        <v>56</v>
      </c>
      <c r="C88">
        <v>99.085000000000008</v>
      </c>
      <c r="D88">
        <v>20.233000000000001</v>
      </c>
      <c r="E88">
        <v>1959.2123566761279</v>
      </c>
      <c r="F88" s="69" t="s">
        <v>2</v>
      </c>
      <c r="G88">
        <v>35.861110010060791</v>
      </c>
      <c r="H88">
        <v>670.24200000000008</v>
      </c>
      <c r="I88" s="7">
        <f>Alice_Master_Analysis[[#This Row],[Payload]]*val_yield_rate</f>
        <v>4408.2278025212881</v>
      </c>
      <c r="J88" s="7">
        <f>Alice_Master_Analysis[[#This Row],[Net_kWh_used]]*val_elec_rate</f>
        <v>120.64356000000001</v>
      </c>
      <c r="K88" s="7">
        <f>(Alice_Master_Analysis[[#This Row],[Net_kWh_used]]/850)*(val_battery_cost/val_cycle)</f>
        <v>183.98800000000003</v>
      </c>
      <c r="L88" s="7">
        <f>Alice_Master_Analysis[[#This Row],[Energy Cost]]+Alice_Master_Analysis[[#This Row],[Battery Depreciation]]+val_ground_ops</f>
        <v>1504.63156</v>
      </c>
      <c r="M88" s="7">
        <f>Alice_Master_Analysis[[#This Row],[Sortie Revenue]]-Alice_Master_Analysis[[#This Row],[Total OpEx per Sortie]]</f>
        <v>2903.5962425212883</v>
      </c>
      <c r="N88" s="70">
        <f>Alice_Master_Analysis[[#This Row],[Net Profit]]/Alice_Master_Analysis[[#This Row],[Sortie Revenue]]</f>
        <v>0.65867654136670861</v>
      </c>
    </row>
    <row r="89" spans="1:14" x14ac:dyDescent="0.2">
      <c r="A89" s="69" t="s">
        <v>90</v>
      </c>
      <c r="B89">
        <v>59</v>
      </c>
      <c r="C89">
        <v>99.122166666666672</v>
      </c>
      <c r="D89">
        <v>20.4115</v>
      </c>
      <c r="E89">
        <v>1775.1149427104262</v>
      </c>
      <c r="F89" s="69" t="s">
        <v>5</v>
      </c>
      <c r="G89">
        <v>22.760040579973115</v>
      </c>
      <c r="H89">
        <v>669.04066666666665</v>
      </c>
      <c r="I89" s="7">
        <f>Alice_Master_Analysis[[#This Row],[Payload]]*val_yield_rate</f>
        <v>3994.0086210984591</v>
      </c>
      <c r="J89" s="7">
        <f>Alice_Master_Analysis[[#This Row],[Net_kWh_used]]*val_elec_rate</f>
        <v>120.42731999999999</v>
      </c>
      <c r="K89" s="7">
        <f>(Alice_Master_Analysis[[#This Row],[Net_kWh_used]]/850)*(val_battery_cost/val_cycle)</f>
        <v>183.65822222222221</v>
      </c>
      <c r="L89" s="7">
        <f>Alice_Master_Analysis[[#This Row],[Energy Cost]]+Alice_Master_Analysis[[#This Row],[Battery Depreciation]]+val_ground_ops</f>
        <v>1504.0855422222221</v>
      </c>
      <c r="M89" s="7">
        <f>Alice_Master_Analysis[[#This Row],[Sortie Revenue]]-Alice_Master_Analysis[[#This Row],[Total OpEx per Sortie]]</f>
        <v>2489.923078876237</v>
      </c>
      <c r="N89" s="70">
        <f>Alice_Master_Analysis[[#This Row],[Net Profit]]/Alice_Master_Analysis[[#This Row],[Sortie Revenue]]</f>
        <v>0.62341454791137674</v>
      </c>
    </row>
    <row r="90" spans="1:14" x14ac:dyDescent="0.2">
      <c r="A90" s="69" t="s">
        <v>91</v>
      </c>
      <c r="B90">
        <v>56</v>
      </c>
      <c r="C90">
        <v>99.086666666666659</v>
      </c>
      <c r="D90">
        <v>20.579499999999999</v>
      </c>
      <c r="E90">
        <v>2274.425485152653</v>
      </c>
      <c r="F90" s="69" t="s">
        <v>2</v>
      </c>
      <c r="G90">
        <v>21.482528917800323</v>
      </c>
      <c r="H90">
        <v>667.31091666666669</v>
      </c>
      <c r="I90" s="7">
        <f>Alice_Master_Analysis[[#This Row],[Payload]]*val_yield_rate</f>
        <v>5117.4573415934692</v>
      </c>
      <c r="J90" s="7">
        <f>Alice_Master_Analysis[[#This Row],[Net_kWh_used]]*val_elec_rate</f>
        <v>120.115965</v>
      </c>
      <c r="K90" s="7">
        <f>(Alice_Master_Analysis[[#This Row],[Net_kWh_used]]/850)*(val_battery_cost/val_cycle)</f>
        <v>183.18338888888891</v>
      </c>
      <c r="L90" s="7">
        <f>Alice_Master_Analysis[[#This Row],[Energy Cost]]+Alice_Master_Analysis[[#This Row],[Battery Depreciation]]+val_ground_ops</f>
        <v>1503.2993538888888</v>
      </c>
      <c r="M90" s="7">
        <f>Alice_Master_Analysis[[#This Row],[Sortie Revenue]]-Alice_Master_Analysis[[#This Row],[Total OpEx per Sortie]]</f>
        <v>3614.1579877045806</v>
      </c>
      <c r="N90" s="70">
        <f>Alice_Master_Analysis[[#This Row],[Net Profit]]/Alice_Master_Analysis[[#This Row],[Sortie Revenue]]</f>
        <v>0.70624096039444606</v>
      </c>
    </row>
    <row r="91" spans="1:14" x14ac:dyDescent="0.2">
      <c r="A91" s="69" t="s">
        <v>92</v>
      </c>
      <c r="B91">
        <v>56</v>
      </c>
      <c r="C91">
        <v>99.094833333333327</v>
      </c>
      <c r="D91">
        <v>21.3155</v>
      </c>
      <c r="E91">
        <v>1444.4298503238986</v>
      </c>
      <c r="F91" s="69" t="s">
        <v>2</v>
      </c>
      <c r="G91">
        <v>7.0926145450225846</v>
      </c>
      <c r="H91">
        <v>661.12433333333331</v>
      </c>
      <c r="I91" s="7">
        <f>Alice_Master_Analysis[[#This Row],[Payload]]*val_yield_rate</f>
        <v>3249.9671632287718</v>
      </c>
      <c r="J91" s="7">
        <f>Alice_Master_Analysis[[#This Row],[Net_kWh_used]]*val_elec_rate</f>
        <v>119.00237999999999</v>
      </c>
      <c r="K91" s="7">
        <f>(Alice_Master_Analysis[[#This Row],[Net_kWh_used]]/850)*(val_battery_cost/val_cycle)</f>
        <v>181.48511111111111</v>
      </c>
      <c r="L91" s="7">
        <f>Alice_Master_Analysis[[#This Row],[Energy Cost]]+Alice_Master_Analysis[[#This Row],[Battery Depreciation]]+val_ground_ops</f>
        <v>1500.487491111111</v>
      </c>
      <c r="M91" s="7">
        <f>Alice_Master_Analysis[[#This Row],[Sortie Revenue]]-Alice_Master_Analysis[[#This Row],[Total OpEx per Sortie]]</f>
        <v>1749.4796721176608</v>
      </c>
      <c r="N91" s="70">
        <f>Alice_Master_Analysis[[#This Row],[Net Profit]]/Alice_Master_Analysis[[#This Row],[Sortie Revenue]]</f>
        <v>0.53830687642381925</v>
      </c>
    </row>
    <row r="92" spans="1:14" x14ac:dyDescent="0.2">
      <c r="A92" s="69" t="s">
        <v>93</v>
      </c>
      <c r="B92">
        <v>58</v>
      </c>
      <c r="C92">
        <v>99.114999999999995</v>
      </c>
      <c r="D92">
        <v>20.895</v>
      </c>
      <c r="E92">
        <v>739.18849187660339</v>
      </c>
      <c r="F92" s="69" t="s">
        <v>2</v>
      </c>
      <c r="G92">
        <v>-0.34486160970503937</v>
      </c>
      <c r="H92">
        <v>664.87</v>
      </c>
      <c r="I92" s="7">
        <f>Alice_Master_Analysis[[#This Row],[Payload]]*val_yield_rate</f>
        <v>1663.1741067223577</v>
      </c>
      <c r="J92" s="7">
        <f>Alice_Master_Analysis[[#This Row],[Net_kWh_used]]*val_elec_rate</f>
        <v>119.67659999999999</v>
      </c>
      <c r="K92" s="7">
        <f>(Alice_Master_Analysis[[#This Row],[Net_kWh_used]]/850)*(val_battery_cost/val_cycle)</f>
        <v>182.51333333333335</v>
      </c>
      <c r="L92" s="7">
        <f>Alice_Master_Analysis[[#This Row],[Energy Cost]]+Alice_Master_Analysis[[#This Row],[Battery Depreciation]]+val_ground_ops</f>
        <v>1502.1899333333333</v>
      </c>
      <c r="M92" s="7">
        <f>Alice_Master_Analysis[[#This Row],[Sortie Revenue]]-Alice_Master_Analysis[[#This Row],[Total OpEx per Sortie]]</f>
        <v>160.98417338902436</v>
      </c>
      <c r="N92" s="70">
        <f>Alice_Master_Analysis[[#This Row],[Net Profit]]/Alice_Master_Analysis[[#This Row],[Sortie Revenue]]</f>
        <v>9.6793337954423964E-2</v>
      </c>
    </row>
    <row r="93" spans="1:14" x14ac:dyDescent="0.2">
      <c r="A93" s="69" t="s">
        <v>94</v>
      </c>
      <c r="B93">
        <v>55</v>
      </c>
      <c r="C93">
        <v>99.074666666666658</v>
      </c>
      <c r="D93">
        <v>20.518333333333331</v>
      </c>
      <c r="E93">
        <v>1926.48957444599</v>
      </c>
      <c r="F93" s="69" t="s">
        <v>5</v>
      </c>
      <c r="G93">
        <v>39.860787897666334</v>
      </c>
      <c r="H93">
        <v>667.72883333333334</v>
      </c>
      <c r="I93" s="7">
        <f>Alice_Master_Analysis[[#This Row],[Payload]]*val_yield_rate</f>
        <v>4334.6015425034775</v>
      </c>
      <c r="J93" s="7">
        <f>Alice_Master_Analysis[[#This Row],[Net_kWh_used]]*val_elec_rate</f>
        <v>120.19118999999999</v>
      </c>
      <c r="K93" s="7">
        <f>(Alice_Master_Analysis[[#This Row],[Net_kWh_used]]/850)*(val_battery_cost/val_cycle)</f>
        <v>183.29811111111113</v>
      </c>
      <c r="L93" s="7">
        <f>Alice_Master_Analysis[[#This Row],[Energy Cost]]+Alice_Master_Analysis[[#This Row],[Battery Depreciation]]+val_ground_ops</f>
        <v>1503.4893011111112</v>
      </c>
      <c r="M93" s="7">
        <f>Alice_Master_Analysis[[#This Row],[Sortie Revenue]]-Alice_Master_Analysis[[#This Row],[Total OpEx per Sortie]]</f>
        <v>2831.1122413923663</v>
      </c>
      <c r="N93" s="70">
        <f>Alice_Master_Analysis[[#This Row],[Net Profit]]/Alice_Master_Analysis[[#This Row],[Sortie Revenue]]</f>
        <v>0.65314244311306158</v>
      </c>
    </row>
    <row r="94" spans="1:14" x14ac:dyDescent="0.2">
      <c r="A94" s="69" t="s">
        <v>95</v>
      </c>
      <c r="B94">
        <v>54</v>
      </c>
      <c r="C94">
        <v>99.0685</v>
      </c>
      <c r="D94">
        <v>21.257833333333334</v>
      </c>
      <c r="E94">
        <v>2021.570097233795</v>
      </c>
      <c r="F94" s="69" t="s">
        <v>5</v>
      </c>
      <c r="G94">
        <v>40.020902858166522</v>
      </c>
      <c r="H94">
        <v>661.39066666666668</v>
      </c>
      <c r="I94" s="7">
        <f>Alice_Master_Analysis[[#This Row],[Payload]]*val_yield_rate</f>
        <v>4548.5327187760386</v>
      </c>
      <c r="J94" s="7">
        <f>Alice_Master_Analysis[[#This Row],[Net_kWh_used]]*val_elec_rate</f>
        <v>119.05032</v>
      </c>
      <c r="K94" s="7">
        <f>(Alice_Master_Analysis[[#This Row],[Net_kWh_used]]/850)*(val_battery_cost/val_cycle)</f>
        <v>181.55822222222224</v>
      </c>
      <c r="L94" s="7">
        <f>Alice_Master_Analysis[[#This Row],[Energy Cost]]+Alice_Master_Analysis[[#This Row],[Battery Depreciation]]+val_ground_ops</f>
        <v>1500.6085422222222</v>
      </c>
      <c r="M94" s="7">
        <f>Alice_Master_Analysis[[#This Row],[Sortie Revenue]]-Alice_Master_Analysis[[#This Row],[Total OpEx per Sortie]]</f>
        <v>3047.9241765538163</v>
      </c>
      <c r="N94" s="70">
        <f>Alice_Master_Analysis[[#This Row],[Net Profit]]/Alice_Master_Analysis[[#This Row],[Sortie Revenue]]</f>
        <v>0.67008953546100469</v>
      </c>
    </row>
    <row r="95" spans="1:14" x14ac:dyDescent="0.2">
      <c r="A95" s="69" t="s">
        <v>96</v>
      </c>
      <c r="B95">
        <v>60</v>
      </c>
      <c r="C95">
        <v>99.13333333333334</v>
      </c>
      <c r="D95">
        <v>20.403500000000001</v>
      </c>
      <c r="E95">
        <v>1622.5543951389925</v>
      </c>
      <c r="F95" s="69" t="s">
        <v>2</v>
      </c>
      <c r="G95">
        <v>26.655072863663396</v>
      </c>
      <c r="H95">
        <v>669.20358333333343</v>
      </c>
      <c r="I95" s="7">
        <f>Alice_Master_Analysis[[#This Row],[Payload]]*val_yield_rate</f>
        <v>3650.747389062733</v>
      </c>
      <c r="J95" s="7">
        <f>Alice_Master_Analysis[[#This Row],[Net_kWh_used]]*val_elec_rate</f>
        <v>120.45664500000001</v>
      </c>
      <c r="K95" s="7">
        <f>(Alice_Master_Analysis[[#This Row],[Net_kWh_used]]/850)*(val_battery_cost/val_cycle)</f>
        <v>183.70294444444448</v>
      </c>
      <c r="L95" s="7">
        <f>Alice_Master_Analysis[[#This Row],[Energy Cost]]+Alice_Master_Analysis[[#This Row],[Battery Depreciation]]+val_ground_ops</f>
        <v>1504.1595894444445</v>
      </c>
      <c r="M95" s="7">
        <f>Alice_Master_Analysis[[#This Row],[Sortie Revenue]]-Alice_Master_Analysis[[#This Row],[Total OpEx per Sortie]]</f>
        <v>2146.5877996182885</v>
      </c>
      <c r="N95" s="70">
        <f>Alice_Master_Analysis[[#This Row],[Net Profit]]/Alice_Master_Analysis[[#This Row],[Sortie Revenue]]</f>
        <v>0.5879858480620288</v>
      </c>
    </row>
    <row r="96" spans="1:14" x14ac:dyDescent="0.2">
      <c r="A96" s="69" t="s">
        <v>97</v>
      </c>
      <c r="B96">
        <v>55</v>
      </c>
      <c r="C96">
        <v>99.073333333333323</v>
      </c>
      <c r="D96">
        <v>20.357166666666668</v>
      </c>
      <c r="E96">
        <v>2041.9343599091219</v>
      </c>
      <c r="F96" s="69" t="s">
        <v>2</v>
      </c>
      <c r="G96">
        <v>11.951489552435032</v>
      </c>
      <c r="H96">
        <v>669.08741666666651</v>
      </c>
      <c r="I96" s="7">
        <f>Alice_Master_Analysis[[#This Row],[Payload]]*val_yield_rate</f>
        <v>4594.352309795524</v>
      </c>
      <c r="J96" s="7">
        <f>Alice_Master_Analysis[[#This Row],[Net_kWh_used]]*val_elec_rate</f>
        <v>120.43573499999997</v>
      </c>
      <c r="K96" s="7">
        <f>(Alice_Master_Analysis[[#This Row],[Net_kWh_used]]/850)*(val_battery_cost/val_cycle)</f>
        <v>183.67105555555554</v>
      </c>
      <c r="L96" s="7">
        <f>Alice_Master_Analysis[[#This Row],[Energy Cost]]+Alice_Master_Analysis[[#This Row],[Battery Depreciation]]+val_ground_ops</f>
        <v>1504.1067905555556</v>
      </c>
      <c r="M96" s="7">
        <f>Alice_Master_Analysis[[#This Row],[Sortie Revenue]]-Alice_Master_Analysis[[#This Row],[Total OpEx per Sortie]]</f>
        <v>3090.2455192399684</v>
      </c>
      <c r="N96" s="70">
        <f>Alice_Master_Analysis[[#This Row],[Net Profit]]/Alice_Master_Analysis[[#This Row],[Sortie Revenue]]</f>
        <v>0.67261831720029819</v>
      </c>
    </row>
    <row r="97" spans="1:14" x14ac:dyDescent="0.2">
      <c r="A97" s="69" t="s">
        <v>98</v>
      </c>
      <c r="B97">
        <v>58</v>
      </c>
      <c r="C97">
        <v>99.108333333333334</v>
      </c>
      <c r="D97">
        <v>20.148333333333333</v>
      </c>
      <c r="E97">
        <v>1487.5911927287814</v>
      </c>
      <c r="F97" s="69" t="s">
        <v>2</v>
      </c>
      <c r="G97">
        <v>12.460478730633044</v>
      </c>
      <c r="H97">
        <v>671.16000000000008</v>
      </c>
      <c r="I97" s="7">
        <f>Alice_Master_Analysis[[#This Row],[Payload]]*val_yield_rate</f>
        <v>3347.0801836397582</v>
      </c>
      <c r="J97" s="7">
        <f>Alice_Master_Analysis[[#This Row],[Net_kWh_used]]*val_elec_rate</f>
        <v>120.80880000000001</v>
      </c>
      <c r="K97" s="7">
        <f>(Alice_Master_Analysis[[#This Row],[Net_kWh_used]]/850)*(val_battery_cost/val_cycle)</f>
        <v>184.24000000000004</v>
      </c>
      <c r="L97" s="7">
        <f>Alice_Master_Analysis[[#This Row],[Energy Cost]]+Alice_Master_Analysis[[#This Row],[Battery Depreciation]]+val_ground_ops</f>
        <v>1505.0488</v>
      </c>
      <c r="M97" s="7">
        <f>Alice_Master_Analysis[[#This Row],[Sortie Revenue]]-Alice_Master_Analysis[[#This Row],[Total OpEx per Sortie]]</f>
        <v>1842.0313836397581</v>
      </c>
      <c r="N97" s="70">
        <f>Alice_Master_Analysis[[#This Row],[Net Profit]]/Alice_Master_Analysis[[#This Row],[Sortie Revenue]]</f>
        <v>0.55033978350547141</v>
      </c>
    </row>
    <row r="98" spans="1:14" x14ac:dyDescent="0.2">
      <c r="A98" s="69" t="s">
        <v>99</v>
      </c>
      <c r="B98">
        <v>59</v>
      </c>
      <c r="C98">
        <v>99.124166666666667</v>
      </c>
      <c r="D98">
        <v>20.599499999999999</v>
      </c>
      <c r="E98">
        <v>1545.4656587639879</v>
      </c>
      <c r="F98" s="69" t="s">
        <v>2</v>
      </c>
      <c r="G98">
        <v>31.29778394351197</v>
      </c>
      <c r="H98">
        <v>667.45966666666664</v>
      </c>
      <c r="I98" s="7">
        <f>Alice_Master_Analysis[[#This Row],[Payload]]*val_yield_rate</f>
        <v>3477.2977322189727</v>
      </c>
      <c r="J98" s="7">
        <f>Alice_Master_Analysis[[#This Row],[Net_kWh_used]]*val_elec_rate</f>
        <v>120.14273999999999</v>
      </c>
      <c r="K98" s="7">
        <f>(Alice_Master_Analysis[[#This Row],[Net_kWh_used]]/850)*(val_battery_cost/val_cycle)</f>
        <v>183.22422222222224</v>
      </c>
      <c r="L98" s="7">
        <f>Alice_Master_Analysis[[#This Row],[Energy Cost]]+Alice_Master_Analysis[[#This Row],[Battery Depreciation]]+val_ground_ops</f>
        <v>1503.3669622222224</v>
      </c>
      <c r="M98" s="7">
        <f>Alice_Master_Analysis[[#This Row],[Sortie Revenue]]-Alice_Master_Analysis[[#This Row],[Total OpEx per Sortie]]</f>
        <v>1973.9307699967503</v>
      </c>
      <c r="N98" s="70">
        <f>Alice_Master_Analysis[[#This Row],[Net Profit]]/Alice_Master_Analysis[[#This Row],[Sortie Revenue]]</f>
        <v>0.56766228318825129</v>
      </c>
    </row>
    <row r="99" spans="1:14" x14ac:dyDescent="0.2">
      <c r="A99" s="69" t="s">
        <v>100</v>
      </c>
      <c r="B99">
        <v>58</v>
      </c>
      <c r="C99">
        <v>99.109499999999997</v>
      </c>
      <c r="D99">
        <v>20.263833333333331</v>
      </c>
      <c r="E99">
        <v>1355.0820367170993</v>
      </c>
      <c r="F99" s="69" t="s">
        <v>5</v>
      </c>
      <c r="G99">
        <v>39.855512997628857</v>
      </c>
      <c r="H99">
        <v>670.18816666666658</v>
      </c>
      <c r="I99" s="7">
        <f>Alice_Master_Analysis[[#This Row],[Payload]]*val_yield_rate</f>
        <v>3048.9345826134736</v>
      </c>
      <c r="J99" s="7">
        <f>Alice_Master_Analysis[[#This Row],[Net_kWh_used]]*val_elec_rate</f>
        <v>120.63386999999997</v>
      </c>
      <c r="K99" s="7">
        <f>(Alice_Master_Analysis[[#This Row],[Net_kWh_used]]/850)*(val_battery_cost/val_cycle)</f>
        <v>183.9732222222222</v>
      </c>
      <c r="L99" s="7">
        <f>Alice_Master_Analysis[[#This Row],[Energy Cost]]+Alice_Master_Analysis[[#This Row],[Battery Depreciation]]+val_ground_ops</f>
        <v>1504.607092222222</v>
      </c>
      <c r="M99" s="7">
        <f>Alice_Master_Analysis[[#This Row],[Sortie Revenue]]-Alice_Master_Analysis[[#This Row],[Total OpEx per Sortie]]</f>
        <v>1544.3274903912516</v>
      </c>
      <c r="N99" s="70">
        <f>Alice_Master_Analysis[[#This Row],[Net Profit]]/Alice_Master_Analysis[[#This Row],[Sortie Revenue]]</f>
        <v>0.50651381607128187</v>
      </c>
    </row>
    <row r="100" spans="1:14" x14ac:dyDescent="0.2">
      <c r="A100" s="69" t="s">
        <v>101</v>
      </c>
      <c r="B100">
        <v>62</v>
      </c>
      <c r="C100">
        <v>99.160000000000011</v>
      </c>
      <c r="D100">
        <v>21.057666666666666</v>
      </c>
      <c r="E100">
        <v>550.83825348819039</v>
      </c>
      <c r="F100" s="69" t="s">
        <v>5</v>
      </c>
      <c r="G100">
        <v>39.354321213255865</v>
      </c>
      <c r="H100">
        <v>663.86983333333342</v>
      </c>
      <c r="I100" s="7">
        <f>Alice_Master_Analysis[[#This Row],[Payload]]*val_yield_rate</f>
        <v>1239.3860703484283</v>
      </c>
      <c r="J100" s="7">
        <f>Alice_Master_Analysis[[#This Row],[Net_kWh_used]]*val_elec_rate</f>
        <v>119.49657000000001</v>
      </c>
      <c r="K100" s="7">
        <f>(Alice_Master_Analysis[[#This Row],[Net_kWh_used]]/850)*(val_battery_cost/val_cycle)</f>
        <v>182.23877777777781</v>
      </c>
      <c r="L100" s="7">
        <f>Alice_Master_Analysis[[#This Row],[Energy Cost]]+Alice_Master_Analysis[[#This Row],[Battery Depreciation]]+val_ground_ops</f>
        <v>1501.7353477777779</v>
      </c>
      <c r="M100" s="7">
        <f>Alice_Master_Analysis[[#This Row],[Sortie Revenue]]-Alice_Master_Analysis[[#This Row],[Total OpEx per Sortie]]</f>
        <v>-262.34927742934951</v>
      </c>
      <c r="N100" s="70">
        <f>Alice_Master_Analysis[[#This Row],[Net Profit]]/Alice_Master_Analysis[[#This Row],[Sortie Revenue]]</f>
        <v>-0.21167680007537548</v>
      </c>
    </row>
    <row r="101" spans="1:14" x14ac:dyDescent="0.2">
      <c r="A101" s="69" t="s">
        <v>102</v>
      </c>
      <c r="B101">
        <v>63</v>
      </c>
      <c r="C101">
        <v>99.166333333333327</v>
      </c>
      <c r="D101">
        <v>20.598666666666666</v>
      </c>
      <c r="E101">
        <v>715.78285398660887</v>
      </c>
      <c r="F101" s="69" t="s">
        <v>2</v>
      </c>
      <c r="G101">
        <v>33.993777292881191</v>
      </c>
      <c r="H101">
        <v>667.82516666666663</v>
      </c>
      <c r="I101" s="7">
        <f>Alice_Master_Analysis[[#This Row],[Payload]]*val_yield_rate</f>
        <v>1610.5114214698699</v>
      </c>
      <c r="J101" s="7">
        <f>Alice_Master_Analysis[[#This Row],[Net_kWh_used]]*val_elec_rate</f>
        <v>120.20853</v>
      </c>
      <c r="K101" s="7">
        <f>(Alice_Master_Analysis[[#This Row],[Net_kWh_used]]/850)*(val_battery_cost/val_cycle)</f>
        <v>183.32455555555555</v>
      </c>
      <c r="L101" s="7">
        <f>Alice_Master_Analysis[[#This Row],[Energy Cost]]+Alice_Master_Analysis[[#This Row],[Battery Depreciation]]+val_ground_ops</f>
        <v>1503.5330855555555</v>
      </c>
      <c r="M101" s="7">
        <f>Alice_Master_Analysis[[#This Row],[Sortie Revenue]]-Alice_Master_Analysis[[#This Row],[Total OpEx per Sortie]]</f>
        <v>106.97833591431436</v>
      </c>
      <c r="N101" s="70">
        <f>Alice_Master_Analysis[[#This Row],[Net Profit]]/Alice_Master_Analysis[[#This Row],[Sortie Revenue]]</f>
        <v>6.6425071246423162E-2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34A8-8642-084C-B4C9-C9621E16D5D7}">
  <dimension ref="A1:C22"/>
  <sheetViews>
    <sheetView zoomScale="103" workbookViewId="0">
      <selection activeCell="I24" sqref="I24"/>
    </sheetView>
  </sheetViews>
  <sheetFormatPr baseColWidth="10" defaultRowHeight="16" x14ac:dyDescent="0.2"/>
  <cols>
    <col min="1" max="1" width="13" bestFit="1" customWidth="1"/>
    <col min="2" max="2" width="19.1640625" bestFit="1" customWidth="1"/>
    <col min="3" max="3" width="18.83203125" customWidth="1"/>
  </cols>
  <sheetData>
    <row r="1" spans="1:3" x14ac:dyDescent="0.2">
      <c r="A1" s="6" t="s">
        <v>208</v>
      </c>
      <c r="B1" t="s">
        <v>210</v>
      </c>
      <c r="C1" t="s">
        <v>211</v>
      </c>
    </row>
    <row r="2" spans="1:3" x14ac:dyDescent="0.2">
      <c r="A2" s="4" t="s">
        <v>131</v>
      </c>
      <c r="B2" s="18">
        <v>-0.1981654888851293</v>
      </c>
      <c r="C2" s="25">
        <v>-245.30863746620756</v>
      </c>
    </row>
    <row r="3" spans="1:3" x14ac:dyDescent="0.2">
      <c r="A3" s="4" t="s">
        <v>132</v>
      </c>
      <c r="B3" s="18">
        <v>-3.1643783178642977E-2</v>
      </c>
      <c r="C3" s="25">
        <v>-43.788649604404455</v>
      </c>
    </row>
    <row r="4" spans="1:3" x14ac:dyDescent="0.2">
      <c r="A4" s="4" t="s">
        <v>133</v>
      </c>
      <c r="B4" s="18">
        <v>0.10662251610112376</v>
      </c>
      <c r="C4" s="25">
        <v>181.14425108512822</v>
      </c>
    </row>
    <row r="5" spans="1:3" x14ac:dyDescent="0.2">
      <c r="A5" s="4" t="s">
        <v>134</v>
      </c>
      <c r="B5" s="18">
        <v>0.22352718656723969</v>
      </c>
      <c r="C5" s="25">
        <v>435.41748460652605</v>
      </c>
    </row>
    <row r="6" spans="1:3" x14ac:dyDescent="0.2">
      <c r="A6" s="4" t="s">
        <v>135</v>
      </c>
      <c r="B6" s="18">
        <v>0.27812413208890713</v>
      </c>
      <c r="C6" s="25">
        <v>578.64448749668736</v>
      </c>
    </row>
    <row r="7" spans="1:3" x14ac:dyDescent="0.2">
      <c r="A7" s="4" t="s">
        <v>136</v>
      </c>
      <c r="B7" s="18">
        <v>0.36841687474264384</v>
      </c>
      <c r="C7" s="25">
        <v>877.67950550398723</v>
      </c>
    </row>
    <row r="8" spans="1:3" x14ac:dyDescent="0.2">
      <c r="A8" s="4" t="s">
        <v>137</v>
      </c>
      <c r="B8" s="18">
        <v>0.41014721340805782</v>
      </c>
      <c r="C8" s="25">
        <v>1045.3709705081908</v>
      </c>
    </row>
    <row r="9" spans="1:3" x14ac:dyDescent="0.2">
      <c r="A9" s="4" t="s">
        <v>138</v>
      </c>
      <c r="B9" s="18">
        <v>0.45993380444662985</v>
      </c>
      <c r="C9" s="25">
        <v>1281.6009810282249</v>
      </c>
    </row>
    <row r="10" spans="1:3" x14ac:dyDescent="0.2">
      <c r="A10" s="4" t="s">
        <v>139</v>
      </c>
      <c r="B10" s="18">
        <v>0.51055115420046859</v>
      </c>
      <c r="C10" s="25">
        <v>1569.7545498141037</v>
      </c>
    </row>
    <row r="11" spans="1:3" x14ac:dyDescent="0.2">
      <c r="A11" s="4" t="s">
        <v>140</v>
      </c>
      <c r="B11" s="18">
        <v>0.54218751207076643</v>
      </c>
      <c r="C11" s="25">
        <v>1780.1367483920326</v>
      </c>
    </row>
    <row r="12" spans="1:3" x14ac:dyDescent="0.2">
      <c r="A12" s="4" t="s">
        <v>141</v>
      </c>
      <c r="B12" s="18">
        <v>0.57106524574927675</v>
      </c>
      <c r="C12" s="25">
        <v>2001.0074137192757</v>
      </c>
    </row>
    <row r="13" spans="1:3" x14ac:dyDescent="0.2">
      <c r="A13" s="4" t="s">
        <v>142</v>
      </c>
      <c r="B13" s="18">
        <v>0.600741965177646</v>
      </c>
      <c r="C13" s="25">
        <v>2264.7309070085066</v>
      </c>
    </row>
    <row r="14" spans="1:3" x14ac:dyDescent="0.2">
      <c r="A14" s="4" t="s">
        <v>143</v>
      </c>
      <c r="B14" s="18">
        <v>0.61428454469029115</v>
      </c>
      <c r="C14" s="25">
        <v>2394.9387346725953</v>
      </c>
    </row>
    <row r="15" spans="1:3" x14ac:dyDescent="0.2">
      <c r="A15" s="4" t="s">
        <v>144</v>
      </c>
      <c r="B15" s="18">
        <v>0.6384674576092837</v>
      </c>
      <c r="C15" s="25">
        <v>2653.1498838932571</v>
      </c>
    </row>
    <row r="16" spans="1:3" x14ac:dyDescent="0.2">
      <c r="A16" s="4" t="s">
        <v>145</v>
      </c>
      <c r="B16" s="18">
        <v>0.65563208379195637</v>
      </c>
      <c r="C16" s="25">
        <v>2861.4090332557985</v>
      </c>
    </row>
    <row r="17" spans="1:3" x14ac:dyDescent="0.2">
      <c r="A17" s="4" t="s">
        <v>146</v>
      </c>
      <c r="B17" s="18">
        <v>0.67324311852121121</v>
      </c>
      <c r="C17" s="25">
        <v>3098.1163877218828</v>
      </c>
    </row>
    <row r="18" spans="1:3" x14ac:dyDescent="0.2">
      <c r="A18" s="4" t="s">
        <v>147</v>
      </c>
      <c r="B18" s="18">
        <v>0.68722372020327338</v>
      </c>
      <c r="C18" s="25">
        <v>3301.2712584388055</v>
      </c>
    </row>
    <row r="19" spans="1:3" x14ac:dyDescent="0.2">
      <c r="A19" s="4" t="s">
        <v>148</v>
      </c>
      <c r="B19" s="18">
        <v>0.70393277636813412</v>
      </c>
      <c r="C19" s="25">
        <v>3572.8449228752056</v>
      </c>
    </row>
    <row r="20" spans="1:3" x14ac:dyDescent="0.2">
      <c r="A20" s="4" t="s">
        <v>149</v>
      </c>
      <c r="B20" s="18">
        <v>0.71714180087360224</v>
      </c>
      <c r="C20" s="25">
        <v>3807.9376423537938</v>
      </c>
    </row>
    <row r="21" spans="1:3" x14ac:dyDescent="0.2">
      <c r="A21" s="4" t="s">
        <v>150</v>
      </c>
      <c r="B21" s="18">
        <v>0.72596116523362819</v>
      </c>
      <c r="C21" s="25">
        <v>3980.9100067437248</v>
      </c>
    </row>
    <row r="22" spans="1:3" x14ac:dyDescent="0.2">
      <c r="A22" s="4" t="s">
        <v>209</v>
      </c>
      <c r="B22" s="18">
        <v>0.43133482816833502</v>
      </c>
      <c r="C22" s="25">
        <v>1737.8685551686087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4336-CF2D-2C4D-ADC0-ED2E843E4A1C}">
  <dimension ref="A1:E8"/>
  <sheetViews>
    <sheetView workbookViewId="0">
      <selection activeCell="D11" sqref="D11"/>
    </sheetView>
  </sheetViews>
  <sheetFormatPr baseColWidth="10" defaultRowHeight="16" x14ac:dyDescent="0.2"/>
  <cols>
    <col min="1" max="1" width="13" bestFit="1" customWidth="1"/>
    <col min="2" max="2" width="22.83203125" bestFit="1" customWidth="1"/>
    <col min="3" max="3" width="22.6640625" bestFit="1" customWidth="1"/>
    <col min="4" max="4" width="18.33203125" bestFit="1" customWidth="1"/>
    <col min="5" max="5" width="19.1640625" bestFit="1" customWidth="1"/>
  </cols>
  <sheetData>
    <row r="1" spans="1:5" x14ac:dyDescent="0.2">
      <c r="A1" s="6" t="s">
        <v>208</v>
      </c>
      <c r="B1" t="s">
        <v>212</v>
      </c>
      <c r="C1" t="s">
        <v>213</v>
      </c>
      <c r="D1" t="s">
        <v>211</v>
      </c>
      <c r="E1" t="s">
        <v>210</v>
      </c>
    </row>
    <row r="2" spans="1:5" x14ac:dyDescent="0.2">
      <c r="A2" s="4" t="s">
        <v>5</v>
      </c>
      <c r="B2" s="69">
        <v>667.0627481481481</v>
      </c>
      <c r="C2" s="25">
        <v>3278.7910210078066</v>
      </c>
      <c r="D2" s="25">
        <v>1775.604462143609</v>
      </c>
      <c r="E2" s="18">
        <v>0.42093221594715907</v>
      </c>
    </row>
    <row r="3" spans="1:5" x14ac:dyDescent="0.2">
      <c r="A3" s="4" t="s">
        <v>2</v>
      </c>
      <c r="B3" s="69">
        <v>666.09559696969711</v>
      </c>
      <c r="C3" s="25">
        <v>3209.7407013607803</v>
      </c>
      <c r="D3" s="25">
        <v>1706.9937221890627</v>
      </c>
      <c r="E3" s="18">
        <v>0.43984605634929735</v>
      </c>
    </row>
    <row r="4" spans="1:5" x14ac:dyDescent="0.2">
      <c r="A4" s="4" t="s">
        <v>209</v>
      </c>
      <c r="B4" s="69">
        <v>666.53081499999996</v>
      </c>
      <c r="C4" s="25">
        <v>3240.813345201942</v>
      </c>
      <c r="D4" s="25">
        <v>1737.8685551686085</v>
      </c>
      <c r="E4" s="18">
        <v>0.43133482816833485</v>
      </c>
    </row>
    <row r="6" spans="1:5" x14ac:dyDescent="0.2">
      <c r="A6" s="57" t="s">
        <v>198</v>
      </c>
      <c r="B6" s="15"/>
      <c r="C6" s="15">
        <f>GETPIVOTDATA("Average of Sortie Revenue",$A$1,"Firmware","v2.1")-GETPIVOTDATA("Average of Sortie Revenue",$A$1,"Firmware","v2.2")</f>
        <v>69.050319647026299</v>
      </c>
    </row>
    <row r="7" spans="1:5" x14ac:dyDescent="0.2">
      <c r="A7" s="57" t="s">
        <v>199</v>
      </c>
      <c r="B7" s="15"/>
      <c r="C7" s="15">
        <f>(GETPIVOTDATA("Average of Net Profit",$A$1,"Firmware","v2.1")-GETPIVOTDATA("Average of Net Profit",$A$1,"Firmware","v2.2"))/GETPIVOTDATA("Average of Net Profit",$A$1,"Firmware","v2.2")</f>
        <v>4.0193902919900187E-2</v>
      </c>
    </row>
    <row r="8" spans="1:5" x14ac:dyDescent="0.2">
      <c r="A8" s="57" t="s">
        <v>200</v>
      </c>
      <c r="B8" s="15"/>
      <c r="C8" s="58">
        <f>C6*10*4*365</f>
        <v>1008134.6668465839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507A-F115-1243-BC8E-CF2C08BD8233}">
  <dimension ref="A1:K101"/>
  <sheetViews>
    <sheetView workbookViewId="0">
      <selection activeCell="P7" sqref="P7"/>
    </sheetView>
  </sheetViews>
  <sheetFormatPr baseColWidth="10" defaultRowHeight="16" x14ac:dyDescent="0.2"/>
  <cols>
    <col min="2" max="2" width="14.83203125" customWidth="1"/>
    <col min="3" max="3" width="13.5" customWidth="1"/>
    <col min="4" max="4" width="9.1640625" customWidth="1"/>
    <col min="5" max="5" width="11.6640625" customWidth="1"/>
    <col min="6" max="6" width="12.5" customWidth="1"/>
    <col min="8" max="8" width="37.33203125" customWidth="1"/>
    <col min="9" max="9" width="20.1640625" customWidth="1"/>
    <col min="11" max="11" width="12.6640625" customWidth="1"/>
  </cols>
  <sheetData>
    <row r="1" spans="1:11" x14ac:dyDescent="0.2">
      <c r="A1" t="s">
        <v>0</v>
      </c>
      <c r="B1" t="s">
        <v>220</v>
      </c>
      <c r="C1" t="s">
        <v>177</v>
      </c>
      <c r="D1" t="s">
        <v>178</v>
      </c>
      <c r="E1" t="s">
        <v>179</v>
      </c>
      <c r="F1" t="s">
        <v>180</v>
      </c>
    </row>
    <row r="2" spans="1:11" ht="23" thickBot="1" x14ac:dyDescent="0.35">
      <c r="A2" t="str">
        <f>Alice_Master_Analysis[[#This Row],[flight_id]]</f>
        <v>FL-00001</v>
      </c>
      <c r="B2" s="7">
        <f>Alice_Master_Analysis[[#This Row],[Net Profit]]</f>
        <v>1306.9186975909088</v>
      </c>
      <c r="C2" s="24">
        <f>Alice_Master_Analysis[[#This Row],[Net_kWh_used]]</f>
        <v>667.77841666666666</v>
      </c>
      <c r="D2">
        <v>0</v>
      </c>
      <c r="E2" s="25">
        <f>B2*D2</f>
        <v>0</v>
      </c>
      <c r="F2">
        <f>C2*D2</f>
        <v>0</v>
      </c>
      <c r="H2" s="66" t="s">
        <v>184</v>
      </c>
      <c r="I2" s="67"/>
      <c r="J2" s="67"/>
      <c r="K2" s="68"/>
    </row>
    <row r="3" spans="1:11" ht="23" thickTop="1" x14ac:dyDescent="0.3">
      <c r="A3" t="str">
        <f>Alice_Master_Analysis[[#This Row],[flight_id]]</f>
        <v>FL-00002</v>
      </c>
      <c r="B3" s="7">
        <f>Alice_Master_Analysis[[#This Row],[Net Profit]]</f>
        <v>3898.8371549557341</v>
      </c>
      <c r="C3" s="24">
        <f>Alice_Master_Analysis[[#This Row],[Net_kWh_used]]</f>
        <v>669.68241666666677</v>
      </c>
      <c r="D3">
        <v>1</v>
      </c>
      <c r="E3" s="25">
        <f t="shared" ref="E3:E66" si="0">B3*D3</f>
        <v>3898.8371549557341</v>
      </c>
      <c r="F3">
        <f t="shared" ref="F3:F66" si="1">C3*D3</f>
        <v>669.68241666666677</v>
      </c>
      <c r="H3" s="28" t="s">
        <v>222</v>
      </c>
      <c r="I3" s="9"/>
      <c r="K3" s="29"/>
    </row>
    <row r="4" spans="1:11" ht="16" customHeight="1" x14ac:dyDescent="0.2">
      <c r="A4" t="str">
        <f>Alice_Master_Analysis[[#This Row],[flight_id]]</f>
        <v>FL-00003</v>
      </c>
      <c r="B4" s="7">
        <f>Alice_Master_Analysis[[#This Row],[Net Profit]]</f>
        <v>2915.2741731513229</v>
      </c>
      <c r="C4" s="24">
        <f>Alice_Master_Analysis[[#This Row],[Net_kWh_used]]</f>
        <v>668.18925000000002</v>
      </c>
      <c r="D4">
        <v>0</v>
      </c>
      <c r="E4" s="25">
        <f t="shared" si="0"/>
        <v>0</v>
      </c>
      <c r="F4">
        <f t="shared" si="1"/>
        <v>0</v>
      </c>
      <c r="H4" s="72" t="s">
        <v>221</v>
      </c>
      <c r="I4" s="72"/>
      <c r="J4" s="72"/>
      <c r="K4" s="72"/>
    </row>
    <row r="5" spans="1:11" ht="16" customHeight="1" x14ac:dyDescent="0.2">
      <c r="A5" t="str">
        <f>Alice_Master_Analysis[[#This Row],[flight_id]]</f>
        <v>FL-00004</v>
      </c>
      <c r="B5" s="7">
        <f>Alice_Master_Analysis[[#This Row],[Net Profit]]</f>
        <v>2313.8345366644426</v>
      </c>
      <c r="C5" s="24">
        <f>Alice_Master_Analysis[[#This Row],[Net_kWh_used]]</f>
        <v>671.3356666666665</v>
      </c>
      <c r="D5">
        <v>0</v>
      </c>
      <c r="E5" s="25">
        <f t="shared" si="0"/>
        <v>0</v>
      </c>
      <c r="F5">
        <f t="shared" si="1"/>
        <v>0</v>
      </c>
      <c r="H5" s="73" t="s">
        <v>185</v>
      </c>
      <c r="I5" s="74"/>
      <c r="J5" s="74"/>
      <c r="K5" s="75"/>
    </row>
    <row r="6" spans="1:11" x14ac:dyDescent="0.2">
      <c r="A6" t="str">
        <f>Alice_Master_Analysis[[#This Row],[flight_id]]</f>
        <v>FL-00005</v>
      </c>
      <c r="B6" s="7">
        <f>Alice_Master_Analysis[[#This Row],[Net Profit]]</f>
        <v>321.41952421318661</v>
      </c>
      <c r="C6" s="24">
        <f>Alice_Master_Analysis[[#This Row],[Net_kWh_used]]</f>
        <v>672.51433333333341</v>
      </c>
      <c r="D6">
        <v>0</v>
      </c>
      <c r="E6" s="25">
        <f t="shared" si="0"/>
        <v>0</v>
      </c>
      <c r="F6">
        <f t="shared" si="1"/>
        <v>0</v>
      </c>
      <c r="H6" s="30"/>
      <c r="K6" s="29"/>
    </row>
    <row r="7" spans="1:11" ht="22" x14ac:dyDescent="0.3">
      <c r="A7" t="str">
        <f>Alice_Master_Analysis[[#This Row],[flight_id]]</f>
        <v>FL-00006</v>
      </c>
      <c r="B7" s="7">
        <f>Alice_Master_Analysis[[#This Row],[Net Profit]]</f>
        <v>323.26840595735621</v>
      </c>
      <c r="C7" s="24">
        <f>Alice_Master_Analysis[[#This Row],[Net_kWh_used]]</f>
        <v>668.2076666666668</v>
      </c>
      <c r="D7">
        <v>0</v>
      </c>
      <c r="E7" s="25">
        <f t="shared" si="0"/>
        <v>0</v>
      </c>
      <c r="F7">
        <f t="shared" si="1"/>
        <v>0</v>
      </c>
      <c r="H7" s="31" t="s">
        <v>182</v>
      </c>
      <c r="I7" s="26"/>
      <c r="J7" s="26"/>
      <c r="K7" s="35">
        <f>SUM(F:F)</f>
        <v>7976.8377499999997</v>
      </c>
    </row>
    <row r="8" spans="1:11" x14ac:dyDescent="0.2">
      <c r="A8" t="str">
        <f>Alice_Master_Analysis[[#This Row],[flight_id]]</f>
        <v>FL-00007</v>
      </c>
      <c r="B8" s="7">
        <f>Alice_Master_Analysis[[#This Row],[Net Profit]]</f>
        <v>-119.14322802088009</v>
      </c>
      <c r="C8" s="24">
        <f>Alice_Master_Analysis[[#This Row],[Net_kWh_used]]</f>
        <v>672.1955833333335</v>
      </c>
      <c r="D8">
        <v>0</v>
      </c>
      <c r="E8" s="25">
        <f t="shared" si="0"/>
        <v>0</v>
      </c>
      <c r="F8">
        <f t="shared" si="1"/>
        <v>0</v>
      </c>
      <c r="H8" s="30"/>
      <c r="K8" s="29"/>
    </row>
    <row r="9" spans="1:11" ht="22" x14ac:dyDescent="0.3">
      <c r="A9" t="str">
        <f>Alice_Master_Analysis[[#This Row],[flight_id]]</f>
        <v>FL-00008</v>
      </c>
      <c r="B9" s="7">
        <f>Alice_Master_Analysis[[#This Row],[Net Profit]]</f>
        <v>3520.5151537649854</v>
      </c>
      <c r="C9" s="24">
        <f>Alice_Master_Analysis[[#This Row],[Net_kWh_used]]</f>
        <v>665.0626666666667</v>
      </c>
      <c r="D9">
        <v>1</v>
      </c>
      <c r="E9" s="25">
        <f t="shared" si="0"/>
        <v>3520.5151537649854</v>
      </c>
      <c r="F9">
        <f t="shared" si="1"/>
        <v>665.0626666666667</v>
      </c>
      <c r="H9" s="36" t="s">
        <v>181</v>
      </c>
      <c r="K9" s="37">
        <f>SUM(E:E)</f>
        <v>45921.803036527788</v>
      </c>
    </row>
    <row r="10" spans="1:11" ht="22" x14ac:dyDescent="0.3">
      <c r="A10" t="str">
        <f>Alice_Master_Analysis[[#This Row],[flight_id]]</f>
        <v>FL-00009</v>
      </c>
      <c r="B10" s="7">
        <f>Alice_Master_Analysis[[#This Row],[Net Profit]]</f>
        <v>2327.5146895111066</v>
      </c>
      <c r="C10" s="24">
        <f>Alice_Master_Analysis[[#This Row],[Net_kWh_used]]</f>
        <v>665.55849999999987</v>
      </c>
      <c r="D10">
        <v>0</v>
      </c>
      <c r="E10" s="25">
        <f t="shared" si="0"/>
        <v>0</v>
      </c>
      <c r="F10">
        <f t="shared" si="1"/>
        <v>0</v>
      </c>
      <c r="H10" s="33" t="s">
        <v>183</v>
      </c>
      <c r="K10" s="38">
        <f>COUNTIF(D2:D101, 1)/100</f>
        <v>0.12</v>
      </c>
    </row>
    <row r="11" spans="1:11" ht="22" x14ac:dyDescent="0.3">
      <c r="A11" t="str">
        <f>Alice_Master_Analysis[[#This Row],[flight_id]]</f>
        <v>FL-00010</v>
      </c>
      <c r="B11" s="7">
        <f>Alice_Master_Analysis[[#This Row],[Net Profit]]</f>
        <v>2810.9704623044272</v>
      </c>
      <c r="C11" s="24">
        <f>Alice_Master_Analysis[[#This Row],[Net_kWh_used]]</f>
        <v>660.83533333333321</v>
      </c>
      <c r="D11">
        <v>0</v>
      </c>
      <c r="E11" s="25">
        <f t="shared" si="0"/>
        <v>0</v>
      </c>
      <c r="F11">
        <f t="shared" si="1"/>
        <v>0</v>
      </c>
      <c r="H11" s="33" t="s">
        <v>186</v>
      </c>
      <c r="I11" s="34"/>
      <c r="J11" s="34"/>
      <c r="K11" s="39">
        <f>K7/8000</f>
        <v>0.99710471874999995</v>
      </c>
    </row>
    <row r="12" spans="1:11" ht="22" x14ac:dyDescent="0.3">
      <c r="A12" t="str">
        <f>Alice_Master_Analysis[[#This Row],[flight_id]]</f>
        <v>FL-00011</v>
      </c>
      <c r="B12" s="7">
        <f>Alice_Master_Analysis[[#This Row],[Net Profit]]</f>
        <v>-285.46823622444435</v>
      </c>
      <c r="C12" s="24">
        <f>Alice_Master_Analysis[[#This Row],[Net_kWh_used]]</f>
        <v>666.86891666666656</v>
      </c>
      <c r="D12">
        <v>0</v>
      </c>
      <c r="E12" s="25">
        <f t="shared" si="0"/>
        <v>0</v>
      </c>
      <c r="F12">
        <f t="shared" si="1"/>
        <v>0</v>
      </c>
      <c r="H12" s="40" t="s">
        <v>187</v>
      </c>
      <c r="I12" s="27"/>
      <c r="J12" s="27"/>
      <c r="K12" s="41">
        <f>K9/K7</f>
        <v>5.7568932045192707</v>
      </c>
    </row>
    <row r="13" spans="1:11" x14ac:dyDescent="0.2">
      <c r="A13" t="str">
        <f>Alice_Master_Analysis[[#This Row],[flight_id]]</f>
        <v>FL-00012</v>
      </c>
      <c r="B13" s="7">
        <f>Alice_Master_Analysis[[#This Row],[Net Profit]]</f>
        <v>3987.6477913956414</v>
      </c>
      <c r="C13" s="24">
        <f>Alice_Master_Analysis[[#This Row],[Net_kWh_used]]</f>
        <v>664.33449999999993</v>
      </c>
      <c r="D13">
        <v>1</v>
      </c>
      <c r="E13" s="25">
        <f t="shared" si="0"/>
        <v>3987.6477913956414</v>
      </c>
      <c r="F13">
        <f t="shared" si="1"/>
        <v>664.33449999999993</v>
      </c>
    </row>
    <row r="14" spans="1:11" x14ac:dyDescent="0.2">
      <c r="A14" t="str">
        <f>Alice_Master_Analysis[[#This Row],[flight_id]]</f>
        <v>FL-00013</v>
      </c>
      <c r="B14" s="7">
        <f>Alice_Master_Analysis[[#This Row],[Net Profit]]</f>
        <v>3370.6209363796747</v>
      </c>
      <c r="C14" s="24">
        <f>Alice_Master_Analysis[[#This Row],[Net_kWh_used]]</f>
        <v>660.86791666666659</v>
      </c>
      <c r="D14">
        <v>0</v>
      </c>
      <c r="E14" s="25">
        <f t="shared" si="0"/>
        <v>0</v>
      </c>
      <c r="F14">
        <f t="shared" si="1"/>
        <v>0</v>
      </c>
    </row>
    <row r="15" spans="1:11" x14ac:dyDescent="0.2">
      <c r="A15" t="str">
        <f>Alice_Master_Analysis[[#This Row],[flight_id]]</f>
        <v>FL-00014</v>
      </c>
      <c r="B15" s="7">
        <f>Alice_Master_Analysis[[#This Row],[Net Profit]]</f>
        <v>578.64448749668736</v>
      </c>
      <c r="C15" s="24">
        <f>Alice_Master_Analysis[[#This Row],[Net_kWh_used]]</f>
        <v>664.19141666666656</v>
      </c>
      <c r="D15">
        <v>0</v>
      </c>
      <c r="E15" s="25">
        <f t="shared" si="0"/>
        <v>0</v>
      </c>
      <c r="F15">
        <f t="shared" si="1"/>
        <v>0</v>
      </c>
    </row>
    <row r="16" spans="1:11" x14ac:dyDescent="0.2">
      <c r="A16" t="str">
        <f>Alice_Master_Analysis[[#This Row],[flight_id]]</f>
        <v>FL-00015</v>
      </c>
      <c r="B16" s="7">
        <f>Alice_Master_Analysis[[#This Row],[Net Profit]]</f>
        <v>439.4590568763972</v>
      </c>
      <c r="C16" s="24">
        <f>Alice_Master_Analysis[[#This Row],[Net_kWh_used]]</f>
        <v>668.30966666666654</v>
      </c>
      <c r="D16">
        <v>0</v>
      </c>
      <c r="E16" s="25">
        <f t="shared" si="0"/>
        <v>0</v>
      </c>
      <c r="F16">
        <f t="shared" si="1"/>
        <v>0</v>
      </c>
    </row>
    <row r="17" spans="1:6" x14ac:dyDescent="0.2">
      <c r="A17" t="str">
        <f>Alice_Master_Analysis[[#This Row],[flight_id]]</f>
        <v>FL-00016</v>
      </c>
      <c r="B17" s="7">
        <f>Alice_Master_Analysis[[#This Row],[Net Profit]]</f>
        <v>445.64430600711876</v>
      </c>
      <c r="C17" s="24">
        <f>Alice_Master_Analysis[[#This Row],[Net_kWh_used]]</f>
        <v>670.33974999999998</v>
      </c>
      <c r="D17">
        <v>0</v>
      </c>
      <c r="E17" s="25">
        <f t="shared" si="0"/>
        <v>0</v>
      </c>
      <c r="F17">
        <f t="shared" si="1"/>
        <v>0</v>
      </c>
    </row>
    <row r="18" spans="1:6" x14ac:dyDescent="0.2">
      <c r="A18" t="str">
        <f>Alice_Master_Analysis[[#This Row],[flight_id]]</f>
        <v>FL-00017</v>
      </c>
      <c r="B18" s="7">
        <f>Alice_Master_Analysis[[#This Row],[Net Profit]]</f>
        <v>992.32641442903105</v>
      </c>
      <c r="C18" s="24">
        <f>Alice_Master_Analysis[[#This Row],[Net_kWh_used]]</f>
        <v>663.93216666666672</v>
      </c>
      <c r="D18">
        <v>0</v>
      </c>
      <c r="E18" s="25">
        <f t="shared" si="0"/>
        <v>0</v>
      </c>
      <c r="F18">
        <f t="shared" si="1"/>
        <v>0</v>
      </c>
    </row>
    <row r="19" spans="1:6" x14ac:dyDescent="0.2">
      <c r="A19" t="str">
        <f>Alice_Master_Analysis[[#This Row],[flight_id]]</f>
        <v>FL-00018</v>
      </c>
      <c r="B19" s="7">
        <f>Alice_Master_Analysis[[#This Row],[Net Profit]]</f>
        <v>1985.083259011737</v>
      </c>
      <c r="C19" s="24">
        <f>Alice_Master_Analysis[[#This Row],[Net_kWh_used]]</f>
        <v>662.95749999999998</v>
      </c>
      <c r="D19">
        <v>0</v>
      </c>
      <c r="E19" s="25">
        <f t="shared" si="0"/>
        <v>0</v>
      </c>
      <c r="F19">
        <f t="shared" si="1"/>
        <v>0</v>
      </c>
    </row>
    <row r="20" spans="1:6" x14ac:dyDescent="0.2">
      <c r="A20" t="str">
        <f>Alice_Master_Analysis[[#This Row],[flight_id]]</f>
        <v>FL-00019</v>
      </c>
      <c r="B20" s="7">
        <f>Alice_Master_Analysis[[#This Row],[Net Profit]]</f>
        <v>1564.2131000006318</v>
      </c>
      <c r="C20" s="24">
        <f>Alice_Master_Analysis[[#This Row],[Net_kWh_used]]</f>
        <v>670.03941666666674</v>
      </c>
      <c r="D20">
        <v>0</v>
      </c>
      <c r="E20" s="25">
        <f t="shared" si="0"/>
        <v>0</v>
      </c>
      <c r="F20">
        <f t="shared" si="1"/>
        <v>0</v>
      </c>
    </row>
    <row r="21" spans="1:6" x14ac:dyDescent="0.2">
      <c r="A21" t="str">
        <f>Alice_Master_Analysis[[#This Row],[flight_id]]</f>
        <v>FL-00020</v>
      </c>
      <c r="B21" s="7">
        <f>Alice_Master_Analysis[[#This Row],[Net Profit]]</f>
        <v>930.0238820023003</v>
      </c>
      <c r="C21" s="24">
        <f>Alice_Master_Analysis[[#This Row],[Net_kWh_used]]</f>
        <v>672.1686666666667</v>
      </c>
      <c r="D21">
        <v>0</v>
      </c>
      <c r="E21" s="25">
        <f t="shared" si="0"/>
        <v>0</v>
      </c>
      <c r="F21">
        <f t="shared" si="1"/>
        <v>0</v>
      </c>
    </row>
    <row r="22" spans="1:6" x14ac:dyDescent="0.2">
      <c r="A22" t="str">
        <f>Alice_Master_Analysis[[#This Row],[flight_id]]</f>
        <v>FL-00021</v>
      </c>
      <c r="B22" s="7">
        <f>Alice_Master_Analysis[[#This Row],[Net Profit]]</f>
        <v>2375.1230218062628</v>
      </c>
      <c r="C22" s="24">
        <f>Alice_Master_Analysis[[#This Row],[Net_kWh_used]]</f>
        <v>667.12533333333329</v>
      </c>
      <c r="D22">
        <v>0</v>
      </c>
      <c r="E22" s="25">
        <f t="shared" si="0"/>
        <v>0</v>
      </c>
      <c r="F22">
        <f t="shared" si="1"/>
        <v>0</v>
      </c>
    </row>
    <row r="23" spans="1:6" x14ac:dyDescent="0.2">
      <c r="A23" t="str">
        <f>Alice_Master_Analysis[[#This Row],[flight_id]]</f>
        <v>FL-00022</v>
      </c>
      <c r="B23" s="7">
        <f>Alice_Master_Analysis[[#This Row],[Net Profit]]</f>
        <v>248.77526682307735</v>
      </c>
      <c r="C23" s="24">
        <f>Alice_Master_Analysis[[#This Row],[Net_kWh_used]]</f>
        <v>668.73608333333323</v>
      </c>
      <c r="D23">
        <v>0</v>
      </c>
      <c r="E23" s="25">
        <f t="shared" si="0"/>
        <v>0</v>
      </c>
      <c r="F23">
        <f t="shared" si="1"/>
        <v>0</v>
      </c>
    </row>
    <row r="24" spans="1:6" x14ac:dyDescent="0.2">
      <c r="A24" t="str">
        <f>Alice_Master_Analysis[[#This Row],[flight_id]]</f>
        <v>FL-00023</v>
      </c>
      <c r="B24" s="7">
        <f>Alice_Master_Analysis[[#This Row],[Net Profit]]</f>
        <v>938.19566229737052</v>
      </c>
      <c r="C24" s="24">
        <f>Alice_Master_Analysis[[#This Row],[Net_kWh_used]]</f>
        <v>663.25358333333327</v>
      </c>
      <c r="D24">
        <v>0</v>
      </c>
      <c r="E24" s="25">
        <f t="shared" si="0"/>
        <v>0</v>
      </c>
      <c r="F24">
        <f t="shared" si="1"/>
        <v>0</v>
      </c>
    </row>
    <row r="25" spans="1:6" x14ac:dyDescent="0.2">
      <c r="A25" t="str">
        <f>Alice_Master_Analysis[[#This Row],[flight_id]]</f>
        <v>FL-00024</v>
      </c>
      <c r="B25" s="7">
        <f>Alice_Master_Analysis[[#This Row],[Net Profit]]</f>
        <v>1270.1460764882788</v>
      </c>
      <c r="C25" s="24">
        <f>Alice_Master_Analysis[[#This Row],[Net_kWh_used]]</f>
        <v>667.71325000000002</v>
      </c>
      <c r="D25">
        <v>0</v>
      </c>
      <c r="E25" s="25">
        <f t="shared" si="0"/>
        <v>0</v>
      </c>
      <c r="F25">
        <f t="shared" si="1"/>
        <v>0</v>
      </c>
    </row>
    <row r="26" spans="1:6" x14ac:dyDescent="0.2">
      <c r="A26" t="str">
        <f>Alice_Master_Analysis[[#This Row],[flight_id]]</f>
        <v>FL-00025</v>
      </c>
      <c r="B26" s="7">
        <f>Alice_Master_Analysis[[#This Row],[Net Profit]]</f>
        <v>1676.7643367544392</v>
      </c>
      <c r="C26" s="24">
        <f>Alice_Master_Analysis[[#This Row],[Net_kWh_used]]</f>
        <v>661.26316666666673</v>
      </c>
      <c r="D26">
        <v>0</v>
      </c>
      <c r="E26" s="25">
        <f t="shared" si="0"/>
        <v>0</v>
      </c>
      <c r="F26">
        <f t="shared" si="1"/>
        <v>0</v>
      </c>
    </row>
    <row r="27" spans="1:6" x14ac:dyDescent="0.2">
      <c r="A27" t="str">
        <f>Alice_Master_Analysis[[#This Row],[flight_id]]</f>
        <v>FL-00026</v>
      </c>
      <c r="B27" s="7">
        <f>Alice_Master_Analysis[[#This Row],[Net Profit]]</f>
        <v>3153.6525396018942</v>
      </c>
      <c r="C27" s="24">
        <f>Alice_Master_Analysis[[#This Row],[Net_kWh_used]]</f>
        <v>670.25900000000013</v>
      </c>
      <c r="D27">
        <v>0</v>
      </c>
      <c r="E27" s="25">
        <f t="shared" si="0"/>
        <v>0</v>
      </c>
      <c r="F27">
        <f t="shared" si="1"/>
        <v>0</v>
      </c>
    </row>
    <row r="28" spans="1:6" x14ac:dyDescent="0.2">
      <c r="A28" t="str">
        <f>Alice_Master_Analysis[[#This Row],[flight_id]]</f>
        <v>FL-00027</v>
      </c>
      <c r="B28" s="7">
        <f>Alice_Master_Analysis[[#This Row],[Net Profit]]</f>
        <v>521.66725026817448</v>
      </c>
      <c r="C28" s="24">
        <f>Alice_Master_Analysis[[#This Row],[Net_kWh_used]]</f>
        <v>664.15458333333322</v>
      </c>
      <c r="D28">
        <v>0</v>
      </c>
      <c r="E28" s="25">
        <f t="shared" si="0"/>
        <v>0</v>
      </c>
      <c r="F28">
        <f t="shared" si="1"/>
        <v>0</v>
      </c>
    </row>
    <row r="29" spans="1:6" x14ac:dyDescent="0.2">
      <c r="A29" t="str">
        <f>Alice_Master_Analysis[[#This Row],[flight_id]]</f>
        <v>FL-00028</v>
      </c>
      <c r="B29" s="7">
        <f>Alice_Master_Analysis[[#This Row],[Net Profit]]</f>
        <v>1937.4522661945857</v>
      </c>
      <c r="C29" s="24">
        <f>Alice_Master_Analysis[[#This Row],[Net_kWh_used]]</f>
        <v>663.57799999999986</v>
      </c>
      <c r="D29">
        <v>0</v>
      </c>
      <c r="E29" s="25">
        <f t="shared" si="0"/>
        <v>0</v>
      </c>
      <c r="F29">
        <f t="shared" si="1"/>
        <v>0</v>
      </c>
    </row>
    <row r="30" spans="1:6" x14ac:dyDescent="0.2">
      <c r="A30" t="str">
        <f>Alice_Master_Analysis[[#This Row],[flight_id]]</f>
        <v>FL-00029</v>
      </c>
      <c r="B30" s="7">
        <f>Alice_Master_Analysis[[#This Row],[Net Profit]]</f>
        <v>2286.1979421014134</v>
      </c>
      <c r="C30" s="24">
        <f>Alice_Master_Analysis[[#This Row],[Net_kWh_used]]</f>
        <v>670.32133333333331</v>
      </c>
      <c r="D30">
        <v>0</v>
      </c>
      <c r="E30" s="25">
        <f t="shared" si="0"/>
        <v>0</v>
      </c>
      <c r="F30">
        <f t="shared" si="1"/>
        <v>0</v>
      </c>
    </row>
    <row r="31" spans="1:6" x14ac:dyDescent="0.2">
      <c r="A31" t="str">
        <f>Alice_Master_Analysis[[#This Row],[flight_id]]</f>
        <v>FL-00030</v>
      </c>
      <c r="B31" s="7">
        <f>Alice_Master_Analysis[[#This Row],[Net Profit]]</f>
        <v>-170.30271887112167</v>
      </c>
      <c r="C31" s="24">
        <f>Alice_Master_Analysis[[#This Row],[Net_kWh_used]]</f>
        <v>669.57758333333334</v>
      </c>
      <c r="D31">
        <v>0</v>
      </c>
      <c r="E31" s="25">
        <f t="shared" si="0"/>
        <v>0</v>
      </c>
      <c r="F31">
        <f t="shared" si="1"/>
        <v>0</v>
      </c>
    </row>
    <row r="32" spans="1:6" x14ac:dyDescent="0.2">
      <c r="A32" t="str">
        <f>Alice_Master_Analysis[[#This Row],[flight_id]]</f>
        <v>FL-00031</v>
      </c>
      <c r="B32" s="7">
        <f>Alice_Master_Analysis[[#This Row],[Net Profit]]</f>
        <v>2357.5757757786951</v>
      </c>
      <c r="C32" s="24">
        <f>Alice_Master_Analysis[[#This Row],[Net_kWh_used]]</f>
        <v>663.07933333333335</v>
      </c>
      <c r="D32">
        <v>0</v>
      </c>
      <c r="E32" s="25">
        <f t="shared" si="0"/>
        <v>0</v>
      </c>
      <c r="F32">
        <f t="shared" si="1"/>
        <v>0</v>
      </c>
    </row>
    <row r="33" spans="1:6" x14ac:dyDescent="0.2">
      <c r="A33" t="str">
        <f>Alice_Master_Analysis[[#This Row],[flight_id]]</f>
        <v>FL-00032</v>
      </c>
      <c r="B33" s="7">
        <f>Alice_Master_Analysis[[#This Row],[Net Profit]]</f>
        <v>390.99730825947859</v>
      </c>
      <c r="C33" s="24">
        <f>Alice_Master_Analysis[[#This Row],[Net_kWh_used]]</f>
        <v>663.04674999999997</v>
      </c>
      <c r="D33">
        <v>0</v>
      </c>
      <c r="E33" s="25">
        <f t="shared" si="0"/>
        <v>0</v>
      </c>
      <c r="F33">
        <f t="shared" si="1"/>
        <v>0</v>
      </c>
    </row>
    <row r="34" spans="1:6" x14ac:dyDescent="0.2">
      <c r="A34" t="str">
        <f>Alice_Master_Analysis[[#This Row],[flight_id]]</f>
        <v>FL-00033</v>
      </c>
      <c r="B34" s="7">
        <f>Alice_Master_Analysis[[#This Row],[Net Profit]]</f>
        <v>-84.827357121797604</v>
      </c>
      <c r="C34" s="24">
        <f>Alice_Master_Analysis[[#This Row],[Net_kWh_used]]</f>
        <v>665.68316666666658</v>
      </c>
      <c r="D34">
        <v>0</v>
      </c>
      <c r="E34" s="25">
        <f t="shared" si="0"/>
        <v>0</v>
      </c>
      <c r="F34">
        <f t="shared" si="1"/>
        <v>0</v>
      </c>
    </row>
    <row r="35" spans="1:6" x14ac:dyDescent="0.2">
      <c r="A35" t="str">
        <f>Alice_Master_Analysis[[#This Row],[flight_id]]</f>
        <v>FL-00034</v>
      </c>
      <c r="B35" s="7">
        <f>Alice_Master_Analysis[[#This Row],[Net Profit]]</f>
        <v>3893.0589787511108</v>
      </c>
      <c r="C35" s="24">
        <f>Alice_Master_Analysis[[#This Row],[Net_kWh_used]]</f>
        <v>664.28916666666657</v>
      </c>
      <c r="D35">
        <v>1</v>
      </c>
      <c r="E35" s="25">
        <f t="shared" si="0"/>
        <v>3893.0589787511108</v>
      </c>
      <c r="F35">
        <f t="shared" si="1"/>
        <v>664.28916666666657</v>
      </c>
    </row>
    <row r="36" spans="1:6" x14ac:dyDescent="0.2">
      <c r="A36" t="str">
        <f>Alice_Master_Analysis[[#This Row],[flight_id]]</f>
        <v>FL-00035</v>
      </c>
      <c r="B36" s="7">
        <f>Alice_Master_Analysis[[#This Row],[Net Profit]]</f>
        <v>3968.4536238355167</v>
      </c>
      <c r="C36" s="24">
        <f>Alice_Master_Analysis[[#This Row],[Net_kWh_used]]</f>
        <v>664.21125000000006</v>
      </c>
      <c r="D36">
        <v>1</v>
      </c>
      <c r="E36" s="25">
        <f t="shared" si="0"/>
        <v>3968.4536238355167</v>
      </c>
      <c r="F36">
        <f t="shared" si="1"/>
        <v>664.21125000000006</v>
      </c>
    </row>
    <row r="37" spans="1:6" x14ac:dyDescent="0.2">
      <c r="A37" t="str">
        <f>Alice_Master_Analysis[[#This Row],[flight_id]]</f>
        <v>FL-00036</v>
      </c>
      <c r="B37" s="7">
        <f>Alice_Master_Analysis[[#This Row],[Net Profit]]</f>
        <v>3261.2916015240753</v>
      </c>
      <c r="C37" s="24">
        <f>Alice_Master_Analysis[[#This Row],[Net_kWh_used]]</f>
        <v>663.3442500000001</v>
      </c>
      <c r="D37">
        <v>0</v>
      </c>
      <c r="E37" s="25">
        <f t="shared" si="0"/>
        <v>0</v>
      </c>
      <c r="F37">
        <f t="shared" si="1"/>
        <v>0</v>
      </c>
    </row>
    <row r="38" spans="1:6" x14ac:dyDescent="0.2">
      <c r="A38" t="str">
        <f>Alice_Master_Analysis[[#This Row],[flight_id]]</f>
        <v>FL-00037</v>
      </c>
      <c r="B38" s="7">
        <f>Alice_Master_Analysis[[#This Row],[Net Profit]]</f>
        <v>992.78970294683495</v>
      </c>
      <c r="C38" s="24">
        <f>Alice_Master_Analysis[[#This Row],[Net_kWh_used]]</f>
        <v>666.59124999999995</v>
      </c>
      <c r="D38">
        <v>0</v>
      </c>
      <c r="E38" s="25">
        <f t="shared" si="0"/>
        <v>0</v>
      </c>
      <c r="F38">
        <f t="shared" si="1"/>
        <v>0</v>
      </c>
    </row>
    <row r="39" spans="1:6" x14ac:dyDescent="0.2">
      <c r="A39" t="str">
        <f>Alice_Master_Analysis[[#This Row],[flight_id]]</f>
        <v>FL-00038</v>
      </c>
      <c r="B39" s="7">
        <f>Alice_Master_Analysis[[#This Row],[Net Profit]]</f>
        <v>60.596079695393883</v>
      </c>
      <c r="C39" s="24">
        <f>Alice_Master_Analysis[[#This Row],[Net_kWh_used]]</f>
        <v>668.69500000000005</v>
      </c>
      <c r="D39">
        <v>0</v>
      </c>
      <c r="E39" s="25">
        <f t="shared" si="0"/>
        <v>0</v>
      </c>
      <c r="F39">
        <f t="shared" si="1"/>
        <v>0</v>
      </c>
    </row>
    <row r="40" spans="1:6" x14ac:dyDescent="0.2">
      <c r="A40" t="str">
        <f>Alice_Master_Analysis[[#This Row],[flight_id]]</f>
        <v>FL-00039</v>
      </c>
      <c r="B40" s="7">
        <f>Alice_Master_Analysis[[#This Row],[Net Profit]]</f>
        <v>2700.5219726380396</v>
      </c>
      <c r="C40" s="24">
        <f>Alice_Master_Analysis[[#This Row],[Net_kWh_used]]</f>
        <v>667.81100000000004</v>
      </c>
      <c r="D40">
        <v>0</v>
      </c>
      <c r="E40" s="25">
        <f t="shared" si="0"/>
        <v>0</v>
      </c>
      <c r="F40">
        <f t="shared" si="1"/>
        <v>0</v>
      </c>
    </row>
    <row r="41" spans="1:6" x14ac:dyDescent="0.2">
      <c r="A41" t="str">
        <f>Alice_Master_Analysis[[#This Row],[flight_id]]</f>
        <v>FL-00040</v>
      </c>
      <c r="B41" s="7">
        <f>Alice_Master_Analysis[[#This Row],[Net Profit]]</f>
        <v>1600.723059050428</v>
      </c>
      <c r="C41" s="24">
        <f>Alice_Master_Analysis[[#This Row],[Net_kWh_used]]</f>
        <v>670.97158333333334</v>
      </c>
      <c r="D41">
        <v>0</v>
      </c>
      <c r="E41" s="25">
        <f t="shared" si="0"/>
        <v>0</v>
      </c>
      <c r="F41">
        <f t="shared" si="1"/>
        <v>0</v>
      </c>
    </row>
    <row r="42" spans="1:6" x14ac:dyDescent="0.2">
      <c r="A42" t="str">
        <f>Alice_Master_Analysis[[#This Row],[flight_id]]</f>
        <v>FL-00041</v>
      </c>
      <c r="B42" s="7">
        <f>Alice_Master_Analysis[[#This Row],[Net Profit]]</f>
        <v>171.51916735706004</v>
      </c>
      <c r="C42" s="24">
        <f>Alice_Master_Analysis[[#This Row],[Net_kWh_used]]</f>
        <v>665.88858333333337</v>
      </c>
      <c r="D42">
        <v>0</v>
      </c>
      <c r="E42" s="25">
        <f t="shared" si="0"/>
        <v>0</v>
      </c>
      <c r="F42">
        <f t="shared" si="1"/>
        <v>0</v>
      </c>
    </row>
    <row r="43" spans="1:6" x14ac:dyDescent="0.2">
      <c r="A43" t="str">
        <f>Alice_Master_Analysis[[#This Row],[flight_id]]</f>
        <v>FL-00042</v>
      </c>
      <c r="B43" s="7">
        <f>Alice_Master_Analysis[[#This Row],[Net Profit]]</f>
        <v>1852.2716010562717</v>
      </c>
      <c r="C43" s="24">
        <f>Alice_Master_Analysis[[#This Row],[Net_kWh_used]]</f>
        <v>662.30583333333334</v>
      </c>
      <c r="D43">
        <v>0</v>
      </c>
      <c r="E43" s="25">
        <f t="shared" si="0"/>
        <v>0</v>
      </c>
      <c r="F43">
        <f t="shared" si="1"/>
        <v>0</v>
      </c>
    </row>
    <row r="44" spans="1:6" x14ac:dyDescent="0.2">
      <c r="A44" t="str">
        <f>Alice_Master_Analysis[[#This Row],[flight_id]]</f>
        <v>FL-00043</v>
      </c>
      <c r="B44" s="7">
        <f>Alice_Master_Analysis[[#This Row],[Net Profit]]</f>
        <v>-224.87677609262846</v>
      </c>
      <c r="C44" s="24">
        <f>Alice_Master_Analysis[[#This Row],[Net_kWh_used]]</f>
        <v>670.22783333333336</v>
      </c>
      <c r="D44">
        <v>0</v>
      </c>
      <c r="E44" s="25">
        <f t="shared" si="0"/>
        <v>0</v>
      </c>
      <c r="F44">
        <f t="shared" si="1"/>
        <v>0</v>
      </c>
    </row>
    <row r="45" spans="1:6" x14ac:dyDescent="0.2">
      <c r="A45" t="str">
        <f>Alice_Master_Analysis[[#This Row],[flight_id]]</f>
        <v>FL-00044</v>
      </c>
      <c r="B45" s="7">
        <f>Alice_Master_Analysis[[#This Row],[Net Profit]]</f>
        <v>3714.7087354656305</v>
      </c>
      <c r="C45" s="24">
        <f>Alice_Master_Analysis[[#This Row],[Net_kWh_used]]</f>
        <v>664.96491666666668</v>
      </c>
      <c r="D45">
        <v>1</v>
      </c>
      <c r="E45" s="25">
        <f t="shared" si="0"/>
        <v>3714.7087354656305</v>
      </c>
      <c r="F45">
        <f t="shared" si="1"/>
        <v>664.96491666666668</v>
      </c>
    </row>
    <row r="46" spans="1:6" x14ac:dyDescent="0.2">
      <c r="A46" t="str">
        <f>Alice_Master_Analysis[[#This Row],[flight_id]]</f>
        <v>FL-00045</v>
      </c>
      <c r="B46" s="7">
        <f>Alice_Master_Analysis[[#This Row],[Net Profit]]</f>
        <v>787.61939220007594</v>
      </c>
      <c r="C46" s="24">
        <f>Alice_Master_Analysis[[#This Row],[Net_kWh_used]]</f>
        <v>664.21124999999995</v>
      </c>
      <c r="D46">
        <v>0</v>
      </c>
      <c r="E46" s="25">
        <f t="shared" si="0"/>
        <v>0</v>
      </c>
      <c r="F46">
        <f t="shared" si="1"/>
        <v>0</v>
      </c>
    </row>
    <row r="47" spans="1:6" x14ac:dyDescent="0.2">
      <c r="A47" t="str">
        <f>Alice_Master_Analysis[[#This Row],[flight_id]]</f>
        <v>FL-00046</v>
      </c>
      <c r="B47" s="7">
        <f>Alice_Master_Analysis[[#This Row],[Net Profit]]</f>
        <v>2605.7777951484745</v>
      </c>
      <c r="C47" s="24">
        <f>Alice_Master_Analysis[[#This Row],[Net_kWh_used]]</f>
        <v>661.31133333333332</v>
      </c>
      <c r="D47">
        <v>0</v>
      </c>
      <c r="E47" s="25">
        <f t="shared" si="0"/>
        <v>0</v>
      </c>
      <c r="F47">
        <f t="shared" si="1"/>
        <v>0</v>
      </c>
    </row>
    <row r="48" spans="1:6" x14ac:dyDescent="0.2">
      <c r="A48" t="str">
        <f>Alice_Master_Analysis[[#This Row],[flight_id]]</f>
        <v>FL-00047</v>
      </c>
      <c r="B48" s="7">
        <f>Alice_Master_Analysis[[#This Row],[Net Profit]]</f>
        <v>1024.6889507356827</v>
      </c>
      <c r="C48" s="24">
        <f>Alice_Master_Analysis[[#This Row],[Net_kWh_used]]</f>
        <v>666.67624999999998</v>
      </c>
      <c r="D48">
        <v>0</v>
      </c>
      <c r="E48" s="25">
        <f t="shared" si="0"/>
        <v>0</v>
      </c>
      <c r="F48">
        <f t="shared" si="1"/>
        <v>0</v>
      </c>
    </row>
    <row r="49" spans="1:6" x14ac:dyDescent="0.2">
      <c r="A49" t="str">
        <f>Alice_Master_Analysis[[#This Row],[flight_id]]</f>
        <v>FL-00048</v>
      </c>
      <c r="B49" s="7">
        <f>Alice_Master_Analysis[[#This Row],[Net Profit]]</f>
        <v>1964.0079480779264</v>
      </c>
      <c r="C49" s="24">
        <f>Alice_Master_Analysis[[#This Row],[Net_kWh_used]]</f>
        <v>662.90791666666678</v>
      </c>
      <c r="D49">
        <v>0</v>
      </c>
      <c r="E49" s="25">
        <f t="shared" si="0"/>
        <v>0</v>
      </c>
      <c r="F49">
        <f t="shared" si="1"/>
        <v>0</v>
      </c>
    </row>
    <row r="50" spans="1:6" x14ac:dyDescent="0.2">
      <c r="A50" t="str">
        <f>Alice_Master_Analysis[[#This Row],[flight_id]]</f>
        <v>FL-00049</v>
      </c>
      <c r="B50" s="7">
        <f>Alice_Master_Analysis[[#This Row],[Net Profit]]</f>
        <v>2079.8686531558697</v>
      </c>
      <c r="C50" s="24">
        <f>Alice_Master_Analysis[[#This Row],[Net_kWh_used]]</f>
        <v>671.77341666666655</v>
      </c>
      <c r="D50">
        <v>0</v>
      </c>
      <c r="E50" s="25">
        <f t="shared" si="0"/>
        <v>0</v>
      </c>
      <c r="F50">
        <f t="shared" si="1"/>
        <v>0</v>
      </c>
    </row>
    <row r="51" spans="1:6" x14ac:dyDescent="0.2">
      <c r="A51" t="str">
        <f>Alice_Master_Analysis[[#This Row],[flight_id]]</f>
        <v>FL-00050</v>
      </c>
      <c r="B51" s="7">
        <f>Alice_Master_Analysis[[#This Row],[Net Profit]]</f>
        <v>453.56758819820493</v>
      </c>
      <c r="C51" s="24">
        <f>Alice_Master_Analysis[[#This Row],[Net_kWh_used]]</f>
        <v>667.2627500000001</v>
      </c>
      <c r="D51">
        <v>0</v>
      </c>
      <c r="E51" s="25">
        <f t="shared" si="0"/>
        <v>0</v>
      </c>
      <c r="F51">
        <f t="shared" si="1"/>
        <v>0</v>
      </c>
    </row>
    <row r="52" spans="1:6" x14ac:dyDescent="0.2">
      <c r="A52" t="str">
        <f>Alice_Master_Analysis[[#This Row],[flight_id]]</f>
        <v>FL-00051</v>
      </c>
      <c r="B52" s="7">
        <f>Alice_Master_Analysis[[#This Row],[Net Profit]]</f>
        <v>3988.1024266071795</v>
      </c>
      <c r="C52" s="24">
        <f>Alice_Master_Analysis[[#This Row],[Net_kWh_used]]</f>
        <v>660.11424999999997</v>
      </c>
      <c r="D52">
        <v>1</v>
      </c>
      <c r="E52" s="25">
        <f t="shared" si="0"/>
        <v>3988.1024266071795</v>
      </c>
      <c r="F52">
        <f t="shared" si="1"/>
        <v>660.11424999999997</v>
      </c>
    </row>
    <row r="53" spans="1:6" x14ac:dyDescent="0.2">
      <c r="A53" t="str">
        <f>Alice_Master_Analysis[[#This Row],[flight_id]]</f>
        <v>FL-00052</v>
      </c>
      <c r="B53" s="7">
        <f>Alice_Master_Analysis[[#This Row],[Net Profit]]</f>
        <v>3108.0984845694602</v>
      </c>
      <c r="C53" s="24">
        <f>Alice_Master_Analysis[[#This Row],[Net_kWh_used]]</f>
        <v>671.05091666666658</v>
      </c>
      <c r="D53">
        <v>0</v>
      </c>
      <c r="E53" s="25">
        <f t="shared" si="0"/>
        <v>0</v>
      </c>
      <c r="F53">
        <f t="shared" si="1"/>
        <v>0</v>
      </c>
    </row>
    <row r="54" spans="1:6" x14ac:dyDescent="0.2">
      <c r="A54" t="str">
        <f>Alice_Master_Analysis[[#This Row],[flight_id]]</f>
        <v>FL-00053</v>
      </c>
      <c r="B54" s="7">
        <f>Alice_Master_Analysis[[#This Row],[Net Profit]]</f>
        <v>3851.2584303721842</v>
      </c>
      <c r="C54" s="24">
        <f>Alice_Master_Analysis[[#This Row],[Net_kWh_used]]</f>
        <v>663.32299999999998</v>
      </c>
      <c r="D54">
        <v>1</v>
      </c>
      <c r="E54" s="25">
        <f t="shared" si="0"/>
        <v>3851.2584303721842</v>
      </c>
      <c r="F54">
        <f t="shared" si="1"/>
        <v>663.32299999999998</v>
      </c>
    </row>
    <row r="55" spans="1:6" x14ac:dyDescent="0.2">
      <c r="A55" t="str">
        <f>Alice_Master_Analysis[[#This Row],[flight_id]]</f>
        <v>FL-00054</v>
      </c>
      <c r="B55" s="7">
        <f>Alice_Master_Analysis[[#This Row],[Net Profit]]</f>
        <v>3650.8292919244195</v>
      </c>
      <c r="C55" s="24">
        <f>Alice_Master_Analysis[[#This Row],[Net_kWh_used]]</f>
        <v>662.01825000000008</v>
      </c>
      <c r="D55">
        <v>1</v>
      </c>
      <c r="E55" s="25">
        <f t="shared" si="0"/>
        <v>3650.8292919244195</v>
      </c>
      <c r="F55">
        <f t="shared" si="1"/>
        <v>662.01825000000008</v>
      </c>
    </row>
    <row r="56" spans="1:6" x14ac:dyDescent="0.2">
      <c r="A56" t="str">
        <f>Alice_Master_Analysis[[#This Row],[flight_id]]</f>
        <v>FL-00055</v>
      </c>
      <c r="B56" s="7">
        <f>Alice_Master_Analysis[[#This Row],[Net Profit]]</f>
        <v>2312.3033496498833</v>
      </c>
      <c r="C56" s="24">
        <f>Alice_Master_Analysis[[#This Row],[Net_kWh_used]]</f>
        <v>667.19475000000011</v>
      </c>
      <c r="D56">
        <v>0</v>
      </c>
      <c r="E56" s="25">
        <f t="shared" si="0"/>
        <v>0</v>
      </c>
      <c r="F56">
        <f t="shared" si="1"/>
        <v>0</v>
      </c>
    </row>
    <row r="57" spans="1:6" x14ac:dyDescent="0.2">
      <c r="A57" t="str">
        <f>Alice_Master_Analysis[[#This Row],[flight_id]]</f>
        <v>FL-00056</v>
      </c>
      <c r="B57" s="7">
        <f>Alice_Master_Analysis[[#This Row],[Net Profit]]</f>
        <v>3772.7244248262482</v>
      </c>
      <c r="C57" s="24">
        <f>Alice_Master_Analysis[[#This Row],[Net_kWh_used]]</f>
        <v>661.61308333333318</v>
      </c>
      <c r="D57">
        <v>1</v>
      </c>
      <c r="E57" s="25">
        <f t="shared" si="0"/>
        <v>3772.7244248262482</v>
      </c>
      <c r="F57">
        <f t="shared" si="1"/>
        <v>661.61308333333318</v>
      </c>
    </row>
    <row r="58" spans="1:6" x14ac:dyDescent="0.2">
      <c r="A58" t="str">
        <f>Alice_Master_Analysis[[#This Row],[flight_id]]</f>
        <v>FL-00057</v>
      </c>
      <c r="B58" s="7">
        <f>Alice_Master_Analysis[[#This Row],[Net Profit]]</f>
        <v>17.620153678082033</v>
      </c>
      <c r="C58" s="24">
        <f>Alice_Master_Analysis[[#This Row],[Net_kWh_used]]</f>
        <v>672.36416666666662</v>
      </c>
      <c r="D58">
        <v>0</v>
      </c>
      <c r="E58" s="25">
        <f t="shared" si="0"/>
        <v>0</v>
      </c>
      <c r="F58">
        <f t="shared" si="1"/>
        <v>0</v>
      </c>
    </row>
    <row r="59" spans="1:6" x14ac:dyDescent="0.2">
      <c r="A59" t="str">
        <f>Alice_Master_Analysis[[#This Row],[flight_id]]</f>
        <v>FL-00058</v>
      </c>
      <c r="B59" s="7">
        <f>Alice_Master_Analysis[[#This Row],[Net Profit]]</f>
        <v>504.41100310837555</v>
      </c>
      <c r="C59" s="24">
        <f>Alice_Master_Analysis[[#This Row],[Net_kWh_used]]</f>
        <v>665.57833333333326</v>
      </c>
      <c r="D59">
        <v>0</v>
      </c>
      <c r="E59" s="25">
        <f t="shared" si="0"/>
        <v>0</v>
      </c>
      <c r="F59">
        <f t="shared" si="1"/>
        <v>0</v>
      </c>
    </row>
    <row r="60" spans="1:6" x14ac:dyDescent="0.2">
      <c r="A60" t="str">
        <f>Alice_Master_Analysis[[#This Row],[flight_id]]</f>
        <v>FL-00059</v>
      </c>
      <c r="B60" s="7">
        <f>Alice_Master_Analysis[[#This Row],[Net Profit]]</f>
        <v>-174.78749990257893</v>
      </c>
      <c r="C60" s="24">
        <f>Alice_Master_Analysis[[#This Row],[Net_kWh_used]]</f>
        <v>667.33499999999992</v>
      </c>
      <c r="D60">
        <v>0</v>
      </c>
      <c r="E60" s="25">
        <f t="shared" si="0"/>
        <v>0</v>
      </c>
      <c r="F60">
        <f t="shared" si="1"/>
        <v>0</v>
      </c>
    </row>
    <row r="61" spans="1:6" x14ac:dyDescent="0.2">
      <c r="A61" t="str">
        <f>Alice_Master_Analysis[[#This Row],[flight_id]]</f>
        <v>FL-00060</v>
      </c>
      <c r="B61" s="7">
        <f>Alice_Master_Analysis[[#This Row],[Net Profit]]</f>
        <v>1086.3754517680231</v>
      </c>
      <c r="C61" s="24">
        <f>Alice_Master_Analysis[[#This Row],[Net_kWh_used]]</f>
        <v>665.79649999999992</v>
      </c>
      <c r="D61">
        <v>0</v>
      </c>
      <c r="E61" s="25">
        <f t="shared" si="0"/>
        <v>0</v>
      </c>
      <c r="F61">
        <f t="shared" si="1"/>
        <v>0</v>
      </c>
    </row>
    <row r="62" spans="1:6" x14ac:dyDescent="0.2">
      <c r="A62" t="str">
        <f>Alice_Master_Analysis[[#This Row],[flight_id]]</f>
        <v>FL-00061</v>
      </c>
      <c r="B62" s="7">
        <f>Alice_Master_Analysis[[#This Row],[Net Profit]]</f>
        <v>1370.7478058248912</v>
      </c>
      <c r="C62" s="24">
        <f>Alice_Master_Analysis[[#This Row],[Net_kWh_used]]</f>
        <v>667.3123333333333</v>
      </c>
      <c r="D62">
        <v>0</v>
      </c>
      <c r="E62" s="25">
        <f t="shared" si="0"/>
        <v>0</v>
      </c>
      <c r="F62">
        <f t="shared" si="1"/>
        <v>0</v>
      </c>
    </row>
    <row r="63" spans="1:6" x14ac:dyDescent="0.2">
      <c r="A63" t="str">
        <f>Alice_Master_Analysis[[#This Row],[flight_id]]</f>
        <v>FL-00062</v>
      </c>
      <c r="B63" s="7">
        <f>Alice_Master_Analysis[[#This Row],[Net Profit]]</f>
        <v>843.74678076030955</v>
      </c>
      <c r="C63" s="24">
        <f>Alice_Master_Analysis[[#This Row],[Net_kWh_used]]</f>
        <v>665.16466666666679</v>
      </c>
      <c r="D63">
        <v>0</v>
      </c>
      <c r="E63" s="25">
        <f t="shared" si="0"/>
        <v>0</v>
      </c>
      <c r="F63">
        <f t="shared" si="1"/>
        <v>0</v>
      </c>
    </row>
    <row r="64" spans="1:6" x14ac:dyDescent="0.2">
      <c r="A64" t="str">
        <f>Alice_Master_Analysis[[#This Row],[flight_id]]</f>
        <v>FL-00063</v>
      </c>
      <c r="B64" s="7">
        <f>Alice_Master_Analysis[[#This Row],[Net Profit]]</f>
        <v>3351.13083007257</v>
      </c>
      <c r="C64" s="24">
        <f>Alice_Master_Analysis[[#This Row],[Net_kWh_used]]</f>
        <v>667.06583333333333</v>
      </c>
      <c r="D64">
        <v>0</v>
      </c>
      <c r="E64" s="25">
        <f t="shared" si="0"/>
        <v>0</v>
      </c>
      <c r="F64">
        <f t="shared" si="1"/>
        <v>0</v>
      </c>
    </row>
    <row r="65" spans="1:6" x14ac:dyDescent="0.2">
      <c r="A65" t="str">
        <f>Alice_Master_Analysis[[#This Row],[flight_id]]</f>
        <v>FL-00064</v>
      </c>
      <c r="B65" s="7">
        <f>Alice_Master_Analysis[[#This Row],[Net Profit]]</f>
        <v>1225.6714851211523</v>
      </c>
      <c r="C65" s="24">
        <f>Alice_Master_Analysis[[#This Row],[Net_kWh_used]]</f>
        <v>670.43324999999993</v>
      </c>
      <c r="D65">
        <v>0</v>
      </c>
      <c r="E65" s="25">
        <f t="shared" si="0"/>
        <v>0</v>
      </c>
      <c r="F65">
        <f t="shared" si="1"/>
        <v>0</v>
      </c>
    </row>
    <row r="66" spans="1:6" x14ac:dyDescent="0.2">
      <c r="A66" t="str">
        <f>Alice_Master_Analysis[[#This Row],[flight_id]]</f>
        <v>FL-00065</v>
      </c>
      <c r="B66" s="7">
        <f>Alice_Master_Analysis[[#This Row],[Net Profit]]</f>
        <v>888.81181025988008</v>
      </c>
      <c r="C66" s="24">
        <f>Alice_Master_Analysis[[#This Row],[Net_kWh_used]]</f>
        <v>660.91750000000002</v>
      </c>
      <c r="D66">
        <v>0</v>
      </c>
      <c r="E66" s="25">
        <f t="shared" si="0"/>
        <v>0</v>
      </c>
      <c r="F66">
        <f t="shared" si="1"/>
        <v>0</v>
      </c>
    </row>
    <row r="67" spans="1:6" x14ac:dyDescent="0.2">
      <c r="A67" t="str">
        <f>Alice_Master_Analysis[[#This Row],[flight_id]]</f>
        <v>FL-00066</v>
      </c>
      <c r="B67" s="7">
        <f>Alice_Master_Analysis[[#This Row],[Net Profit]]</f>
        <v>2065.7015858787845</v>
      </c>
      <c r="C67" s="24">
        <f>Alice_Master_Analysis[[#This Row],[Net_kWh_used]]</f>
        <v>663.19974999999999</v>
      </c>
      <c r="D67">
        <v>0</v>
      </c>
      <c r="E67" s="25">
        <f t="shared" ref="E67:E101" si="2">B67*D67</f>
        <v>0</v>
      </c>
      <c r="F67">
        <f t="shared" ref="F67:F101" si="3">C67*D67</f>
        <v>0</v>
      </c>
    </row>
    <row r="68" spans="1:6" x14ac:dyDescent="0.2">
      <c r="A68" t="str">
        <f>Alice_Master_Analysis[[#This Row],[flight_id]]</f>
        <v>FL-00067</v>
      </c>
      <c r="B68" s="7">
        <f>Alice_Master_Analysis[[#This Row],[Net Profit]]</f>
        <v>256.30522960865414</v>
      </c>
      <c r="C68" s="24">
        <f>Alice_Master_Analysis[[#This Row],[Net_kWh_used]]</f>
        <v>666.33058333333327</v>
      </c>
      <c r="D68">
        <v>0</v>
      </c>
      <c r="E68" s="25">
        <f t="shared" si="2"/>
        <v>0</v>
      </c>
      <c r="F68">
        <f t="shared" si="3"/>
        <v>0</v>
      </c>
    </row>
    <row r="69" spans="1:6" x14ac:dyDescent="0.2">
      <c r="A69" t="str">
        <f>Alice_Master_Analysis[[#This Row],[flight_id]]</f>
        <v>FL-00068</v>
      </c>
      <c r="B69" s="7">
        <f>Alice_Master_Analysis[[#This Row],[Net Profit]]</f>
        <v>3230.9264295042885</v>
      </c>
      <c r="C69" s="24">
        <f>Alice_Master_Analysis[[#This Row],[Net_kWh_used]]</f>
        <v>668.76441666666665</v>
      </c>
      <c r="D69">
        <v>0</v>
      </c>
      <c r="E69" s="25">
        <f t="shared" si="2"/>
        <v>0</v>
      </c>
      <c r="F69">
        <f t="shared" si="3"/>
        <v>0</v>
      </c>
    </row>
    <row r="70" spans="1:6" x14ac:dyDescent="0.2">
      <c r="A70" t="str">
        <f>Alice_Master_Analysis[[#This Row],[flight_id]]</f>
        <v>FL-00069</v>
      </c>
      <c r="B70" s="7">
        <f>Alice_Master_Analysis[[#This Row],[Net Profit]]</f>
        <v>-42.789906774364454</v>
      </c>
      <c r="C70" s="24">
        <f>Alice_Master_Analysis[[#This Row],[Net_kWh_used]]</f>
        <v>667.24149999999997</v>
      </c>
      <c r="D70">
        <v>0</v>
      </c>
      <c r="E70" s="25">
        <f t="shared" si="2"/>
        <v>0</v>
      </c>
      <c r="F70">
        <f t="shared" si="3"/>
        <v>0</v>
      </c>
    </row>
    <row r="71" spans="1:6" x14ac:dyDescent="0.2">
      <c r="A71" t="str">
        <f>Alice_Master_Analysis[[#This Row],[flight_id]]</f>
        <v>FL-00070</v>
      </c>
      <c r="B71" s="7">
        <f>Alice_Master_Analysis[[#This Row],[Net Profit]]</f>
        <v>4061.5090369245499</v>
      </c>
      <c r="C71" s="24">
        <f>Alice_Master_Analysis[[#This Row],[Net_kWh_used]]</f>
        <v>669.91333333333341</v>
      </c>
      <c r="D71">
        <v>1</v>
      </c>
      <c r="E71" s="25">
        <f t="shared" si="2"/>
        <v>4061.5090369245499</v>
      </c>
      <c r="F71">
        <f t="shared" si="3"/>
        <v>669.91333333333341</v>
      </c>
    </row>
    <row r="72" spans="1:6" x14ac:dyDescent="0.2">
      <c r="A72" t="str">
        <f>Alice_Master_Analysis[[#This Row],[flight_id]]</f>
        <v>FL-00071</v>
      </c>
      <c r="B72" s="7">
        <f>Alice_Master_Analysis[[#This Row],[Net Profit]]</f>
        <v>3096.990123501625</v>
      </c>
      <c r="C72" s="24">
        <f>Alice_Master_Analysis[[#This Row],[Net_kWh_used]]</f>
        <v>666.8972500000001</v>
      </c>
      <c r="D72">
        <v>0</v>
      </c>
      <c r="E72" s="25">
        <f t="shared" si="2"/>
        <v>0</v>
      </c>
      <c r="F72">
        <f t="shared" si="3"/>
        <v>0</v>
      </c>
    </row>
    <row r="73" spans="1:6" x14ac:dyDescent="0.2">
      <c r="A73" t="str">
        <f>Alice_Master_Analysis[[#This Row],[flight_id]]</f>
        <v>FL-00072</v>
      </c>
      <c r="B73" s="7">
        <f>Alice_Master_Analysis[[#This Row],[Net Profit]]</f>
        <v>518.32291857044243</v>
      </c>
      <c r="C73" s="24">
        <f>Alice_Master_Analysis[[#This Row],[Net_kWh_used]]</f>
        <v>662.02674999999999</v>
      </c>
      <c r="D73">
        <v>0</v>
      </c>
      <c r="E73" s="25">
        <f t="shared" si="2"/>
        <v>0</v>
      </c>
      <c r="F73">
        <f t="shared" si="3"/>
        <v>0</v>
      </c>
    </row>
    <row r="74" spans="1:6" x14ac:dyDescent="0.2">
      <c r="A74" t="str">
        <f>Alice_Master_Analysis[[#This Row],[flight_id]]</f>
        <v>FL-00073</v>
      </c>
      <c r="B74" s="7">
        <f>Alice_Master_Analysis[[#This Row],[Net Profit]]</f>
        <v>-354.06731627712247</v>
      </c>
      <c r="C74" s="24">
        <f>Alice_Master_Analysis[[#This Row],[Net_kWh_used]]</f>
        <v>668.66949999999997</v>
      </c>
      <c r="D74">
        <v>0</v>
      </c>
      <c r="E74" s="25">
        <f t="shared" si="2"/>
        <v>0</v>
      </c>
      <c r="F74">
        <f t="shared" si="3"/>
        <v>0</v>
      </c>
    </row>
    <row r="75" spans="1:6" x14ac:dyDescent="0.2">
      <c r="A75" t="str">
        <f>Alice_Master_Analysis[[#This Row],[flight_id]]</f>
        <v>FL-00074</v>
      </c>
      <c r="B75" s="7">
        <f>Alice_Master_Analysis[[#This Row],[Net Profit]]</f>
        <v>3292.3864947134198</v>
      </c>
      <c r="C75" s="24">
        <f>Alice_Master_Analysis[[#This Row],[Net_kWh_used]]</f>
        <v>664.87</v>
      </c>
      <c r="D75">
        <v>0</v>
      </c>
      <c r="E75" s="25">
        <f t="shared" si="2"/>
        <v>0</v>
      </c>
      <c r="F75">
        <f t="shared" si="3"/>
        <v>0</v>
      </c>
    </row>
    <row r="76" spans="1:6" x14ac:dyDescent="0.2">
      <c r="A76" t="str">
        <f>Alice_Master_Analysis[[#This Row],[flight_id]]</f>
        <v>FL-00075</v>
      </c>
      <c r="B76" s="7">
        <f>Alice_Master_Analysis[[#This Row],[Net Profit]]</f>
        <v>2803.1323984253886</v>
      </c>
      <c r="C76" s="24">
        <f>Alice_Master_Analysis[[#This Row],[Net_kWh_used]]</f>
        <v>666.04866666666669</v>
      </c>
      <c r="D76">
        <v>0</v>
      </c>
      <c r="E76" s="25">
        <f t="shared" si="2"/>
        <v>0</v>
      </c>
      <c r="F76">
        <f t="shared" si="3"/>
        <v>0</v>
      </c>
    </row>
    <row r="77" spans="1:6" x14ac:dyDescent="0.2">
      <c r="A77" t="str">
        <f>Alice_Master_Analysis[[#This Row],[flight_id]]</f>
        <v>FL-00076</v>
      </c>
      <c r="B77" s="7">
        <f>Alice_Master_Analysis[[#This Row],[Net Profit]]</f>
        <v>2904.368681739998</v>
      </c>
      <c r="C77" s="24">
        <f>Alice_Master_Analysis[[#This Row],[Net_kWh_used]]</f>
        <v>662.61183333333327</v>
      </c>
      <c r="D77">
        <v>0</v>
      </c>
      <c r="E77" s="25">
        <f t="shared" si="2"/>
        <v>0</v>
      </c>
      <c r="F77">
        <f t="shared" si="3"/>
        <v>0</v>
      </c>
    </row>
    <row r="78" spans="1:6" x14ac:dyDescent="0.2">
      <c r="A78" t="str">
        <f>Alice_Master_Analysis[[#This Row],[flight_id]]</f>
        <v>FL-00077</v>
      </c>
      <c r="B78" s="7">
        <f>Alice_Master_Analysis[[#This Row],[Net Profit]]</f>
        <v>3091.7874828645326</v>
      </c>
      <c r="C78" s="24">
        <f>Alice_Master_Analysis[[#This Row],[Net_kWh_used]]</f>
        <v>668.69641666666666</v>
      </c>
      <c r="D78">
        <v>0</v>
      </c>
      <c r="E78" s="25">
        <f t="shared" si="2"/>
        <v>0</v>
      </c>
      <c r="F78">
        <f t="shared" si="3"/>
        <v>0</v>
      </c>
    </row>
    <row r="79" spans="1:6" x14ac:dyDescent="0.2">
      <c r="A79" t="str">
        <f>Alice_Master_Analysis[[#This Row],[flight_id]]</f>
        <v>FL-00078</v>
      </c>
      <c r="B79" s="7">
        <f>Alice_Master_Analysis[[#This Row],[Net Profit]]</f>
        <v>-45.786094418815765</v>
      </c>
      <c r="C79" s="24">
        <f>Alice_Master_Analysis[[#This Row],[Net_kWh_used]]</f>
        <v>668.82391666666672</v>
      </c>
      <c r="D79">
        <v>0</v>
      </c>
      <c r="E79" s="25">
        <f t="shared" si="2"/>
        <v>0</v>
      </c>
      <c r="F79">
        <f t="shared" si="3"/>
        <v>0</v>
      </c>
    </row>
    <row r="80" spans="1:6" x14ac:dyDescent="0.2">
      <c r="A80" t="str">
        <f>Alice_Master_Analysis[[#This Row],[flight_id]]</f>
        <v>FL-00079</v>
      </c>
      <c r="B80" s="7">
        <f>Alice_Master_Analysis[[#This Row],[Net Profit]]</f>
        <v>1234.5208401158932</v>
      </c>
      <c r="C80" s="24">
        <f>Alice_Master_Analysis[[#This Row],[Net_kWh_used]]</f>
        <v>667.91725000000008</v>
      </c>
      <c r="D80">
        <v>0</v>
      </c>
      <c r="E80" s="25">
        <f t="shared" si="2"/>
        <v>0</v>
      </c>
      <c r="F80">
        <f t="shared" si="3"/>
        <v>0</v>
      </c>
    </row>
    <row r="81" spans="1:6" x14ac:dyDescent="0.2">
      <c r="A81" t="str">
        <f>Alice_Master_Analysis[[#This Row],[flight_id]]</f>
        <v>FL-00080</v>
      </c>
      <c r="B81" s="7">
        <f>Alice_Master_Analysis[[#This Row],[Net Profit]]</f>
        <v>142.30333341863911</v>
      </c>
      <c r="C81" s="24">
        <f>Alice_Master_Analysis[[#This Row],[Net_kWh_used]]</f>
        <v>669.08883333333335</v>
      </c>
      <c r="D81">
        <v>0</v>
      </c>
      <c r="E81" s="25">
        <f t="shared" si="2"/>
        <v>0</v>
      </c>
      <c r="F81">
        <f t="shared" si="3"/>
        <v>0</v>
      </c>
    </row>
    <row r="82" spans="1:6" x14ac:dyDescent="0.2">
      <c r="A82" t="str">
        <f>Alice_Master_Analysis[[#This Row],[flight_id]]</f>
        <v>FL-00081</v>
      </c>
      <c r="B82" s="7">
        <f>Alice_Master_Analysis[[#This Row],[Net Profit]]</f>
        <v>3505.8772581068374</v>
      </c>
      <c r="C82" s="24">
        <f>Alice_Master_Analysis[[#This Row],[Net_kWh_used]]</f>
        <v>666.84625000000005</v>
      </c>
      <c r="D82">
        <v>0</v>
      </c>
      <c r="E82" s="25">
        <f t="shared" si="2"/>
        <v>0</v>
      </c>
      <c r="F82">
        <f t="shared" si="3"/>
        <v>0</v>
      </c>
    </row>
    <row r="83" spans="1:6" x14ac:dyDescent="0.2">
      <c r="A83" t="str">
        <f>Alice_Master_Analysis[[#This Row],[flight_id]]</f>
        <v>FL-00082</v>
      </c>
      <c r="B83" s="7">
        <f>Alice_Master_Analysis[[#This Row],[Net Profit]]</f>
        <v>2424.5571073906772</v>
      </c>
      <c r="C83" s="24">
        <f>Alice_Master_Analysis[[#This Row],[Net_kWh_used]]</f>
        <v>671.67849999999999</v>
      </c>
      <c r="D83">
        <v>0</v>
      </c>
      <c r="E83" s="25">
        <f t="shared" si="2"/>
        <v>0</v>
      </c>
      <c r="F83">
        <f t="shared" si="3"/>
        <v>0</v>
      </c>
    </row>
    <row r="84" spans="1:6" x14ac:dyDescent="0.2">
      <c r="A84" t="str">
        <f>Alice_Master_Analysis[[#This Row],[flight_id]]</f>
        <v>FL-00083</v>
      </c>
      <c r="B84" s="7">
        <f>Alice_Master_Analysis[[#This Row],[Net Profit]]</f>
        <v>1112.7197846146994</v>
      </c>
      <c r="C84" s="24">
        <f>Alice_Master_Analysis[[#This Row],[Net_kWh_used]]</f>
        <v>662.95891666666671</v>
      </c>
      <c r="D84">
        <v>0</v>
      </c>
      <c r="E84" s="25">
        <f t="shared" si="2"/>
        <v>0</v>
      </c>
      <c r="F84">
        <f t="shared" si="3"/>
        <v>0</v>
      </c>
    </row>
    <row r="85" spans="1:6" x14ac:dyDescent="0.2">
      <c r="A85" t="str">
        <f>Alice_Master_Analysis[[#This Row],[flight_id]]</f>
        <v>FL-00084</v>
      </c>
      <c r="B85" s="7">
        <f>Alice_Master_Analysis[[#This Row],[Net Profit]]</f>
        <v>-92.190194268449204</v>
      </c>
      <c r="C85" s="24">
        <f>Alice_Master_Analysis[[#This Row],[Net_kWh_used]]</f>
        <v>667.09841666666659</v>
      </c>
      <c r="D85">
        <v>0</v>
      </c>
      <c r="E85" s="25">
        <f t="shared" si="2"/>
        <v>0</v>
      </c>
      <c r="F85">
        <f t="shared" si="3"/>
        <v>0</v>
      </c>
    </row>
    <row r="86" spans="1:6" x14ac:dyDescent="0.2">
      <c r="A86" t="str">
        <f>Alice_Master_Analysis[[#This Row],[flight_id]]</f>
        <v>FL-00085</v>
      </c>
      <c r="B86" s="7">
        <f>Alice_Master_Analysis[[#This Row],[Net Profit]]</f>
        <v>1023.0031810538137</v>
      </c>
      <c r="C86" s="24">
        <f>Alice_Master_Analysis[[#This Row],[Net_kWh_used]]</f>
        <v>663.17</v>
      </c>
      <c r="D86">
        <v>0</v>
      </c>
      <c r="E86" s="25">
        <f t="shared" si="2"/>
        <v>0</v>
      </c>
      <c r="F86">
        <f t="shared" si="3"/>
        <v>0</v>
      </c>
    </row>
    <row r="87" spans="1:6" x14ac:dyDescent="0.2">
      <c r="A87" t="str">
        <f>Alice_Master_Analysis[[#This Row],[flight_id]]</f>
        <v>FL-00086</v>
      </c>
      <c r="B87" s="7">
        <f>Alice_Master_Analysis[[#This Row],[Net Profit]]</f>
        <v>1085.6933080092508</v>
      </c>
      <c r="C87" s="24">
        <f>Alice_Master_Analysis[[#This Row],[Net_kWh_used]]</f>
        <v>665.84183333333328</v>
      </c>
      <c r="D87">
        <v>0</v>
      </c>
      <c r="E87" s="25">
        <f t="shared" si="2"/>
        <v>0</v>
      </c>
      <c r="F87">
        <f t="shared" si="3"/>
        <v>0</v>
      </c>
    </row>
    <row r="88" spans="1:6" x14ac:dyDescent="0.2">
      <c r="A88" t="str">
        <f>Alice_Master_Analysis[[#This Row],[flight_id]]</f>
        <v>FL-00087</v>
      </c>
      <c r="B88" s="7">
        <f>Alice_Master_Analysis[[#This Row],[Net Profit]]</f>
        <v>2903.5962425212883</v>
      </c>
      <c r="C88" s="24">
        <f>Alice_Master_Analysis[[#This Row],[Net_kWh_used]]</f>
        <v>670.24200000000008</v>
      </c>
      <c r="D88">
        <v>0</v>
      </c>
      <c r="E88" s="25">
        <f t="shared" si="2"/>
        <v>0</v>
      </c>
      <c r="F88">
        <f t="shared" si="3"/>
        <v>0</v>
      </c>
    </row>
    <row r="89" spans="1:6" x14ac:dyDescent="0.2">
      <c r="A89" t="str">
        <f>Alice_Master_Analysis[[#This Row],[flight_id]]</f>
        <v>FL-00088</v>
      </c>
      <c r="B89" s="7">
        <f>Alice_Master_Analysis[[#This Row],[Net Profit]]</f>
        <v>2489.923078876237</v>
      </c>
      <c r="C89" s="24">
        <f>Alice_Master_Analysis[[#This Row],[Net_kWh_used]]</f>
        <v>669.04066666666665</v>
      </c>
      <c r="D89">
        <v>0</v>
      </c>
      <c r="E89" s="25">
        <f t="shared" si="2"/>
        <v>0</v>
      </c>
      <c r="F89">
        <f t="shared" si="3"/>
        <v>0</v>
      </c>
    </row>
    <row r="90" spans="1:6" x14ac:dyDescent="0.2">
      <c r="A90" t="str">
        <f>Alice_Master_Analysis[[#This Row],[flight_id]]</f>
        <v>FL-00089</v>
      </c>
      <c r="B90" s="7">
        <f>Alice_Master_Analysis[[#This Row],[Net Profit]]</f>
        <v>3614.1579877045806</v>
      </c>
      <c r="C90" s="24">
        <f>Alice_Master_Analysis[[#This Row],[Net_kWh_used]]</f>
        <v>667.31091666666669</v>
      </c>
      <c r="D90">
        <v>1</v>
      </c>
      <c r="E90" s="25">
        <f t="shared" si="2"/>
        <v>3614.1579877045806</v>
      </c>
      <c r="F90">
        <f t="shared" si="3"/>
        <v>667.31091666666669</v>
      </c>
    </row>
    <row r="91" spans="1:6" x14ac:dyDescent="0.2">
      <c r="A91" t="str">
        <f>Alice_Master_Analysis[[#This Row],[flight_id]]</f>
        <v>FL-00090</v>
      </c>
      <c r="B91" s="7">
        <f>Alice_Master_Analysis[[#This Row],[Net Profit]]</f>
        <v>1749.4796721176608</v>
      </c>
      <c r="C91" s="24">
        <f>Alice_Master_Analysis[[#This Row],[Net_kWh_used]]</f>
        <v>661.12433333333331</v>
      </c>
      <c r="D91">
        <v>0</v>
      </c>
      <c r="E91" s="25">
        <f t="shared" si="2"/>
        <v>0</v>
      </c>
      <c r="F91">
        <f t="shared" si="3"/>
        <v>0</v>
      </c>
    </row>
    <row r="92" spans="1:6" x14ac:dyDescent="0.2">
      <c r="A92" t="str">
        <f>Alice_Master_Analysis[[#This Row],[flight_id]]</f>
        <v>FL-00091</v>
      </c>
      <c r="B92" s="7">
        <f>Alice_Master_Analysis[[#This Row],[Net Profit]]</f>
        <v>160.98417338902436</v>
      </c>
      <c r="C92" s="24">
        <f>Alice_Master_Analysis[[#This Row],[Net_kWh_used]]</f>
        <v>664.87</v>
      </c>
      <c r="D92">
        <v>0</v>
      </c>
      <c r="E92" s="25">
        <f t="shared" si="2"/>
        <v>0</v>
      </c>
      <c r="F92">
        <f t="shared" si="3"/>
        <v>0</v>
      </c>
    </row>
    <row r="93" spans="1:6" x14ac:dyDescent="0.2">
      <c r="A93" t="str">
        <f>Alice_Master_Analysis[[#This Row],[flight_id]]</f>
        <v>FL-00092</v>
      </c>
      <c r="B93" s="7">
        <f>Alice_Master_Analysis[[#This Row],[Net Profit]]</f>
        <v>2831.1122413923663</v>
      </c>
      <c r="C93" s="24">
        <f>Alice_Master_Analysis[[#This Row],[Net_kWh_used]]</f>
        <v>667.72883333333334</v>
      </c>
      <c r="D93">
        <v>0</v>
      </c>
      <c r="E93" s="25">
        <f t="shared" si="2"/>
        <v>0</v>
      </c>
      <c r="F93">
        <f t="shared" si="3"/>
        <v>0</v>
      </c>
    </row>
    <row r="94" spans="1:6" x14ac:dyDescent="0.2">
      <c r="A94" t="str">
        <f>Alice_Master_Analysis[[#This Row],[flight_id]]</f>
        <v>FL-00093</v>
      </c>
      <c r="B94" s="7">
        <f>Alice_Master_Analysis[[#This Row],[Net Profit]]</f>
        <v>3047.9241765538163</v>
      </c>
      <c r="C94" s="24">
        <f>Alice_Master_Analysis[[#This Row],[Net_kWh_used]]</f>
        <v>661.39066666666668</v>
      </c>
      <c r="D94">
        <v>0</v>
      </c>
      <c r="E94" s="25">
        <f t="shared" si="2"/>
        <v>0</v>
      </c>
      <c r="F94">
        <f t="shared" si="3"/>
        <v>0</v>
      </c>
    </row>
    <row r="95" spans="1:6" x14ac:dyDescent="0.2">
      <c r="A95" t="str">
        <f>Alice_Master_Analysis[[#This Row],[flight_id]]</f>
        <v>FL-00094</v>
      </c>
      <c r="B95" s="7">
        <f>Alice_Master_Analysis[[#This Row],[Net Profit]]</f>
        <v>2146.5877996182885</v>
      </c>
      <c r="C95" s="24">
        <f>Alice_Master_Analysis[[#This Row],[Net_kWh_used]]</f>
        <v>669.20358333333343</v>
      </c>
      <c r="D95">
        <v>0</v>
      </c>
      <c r="E95" s="25">
        <f t="shared" si="2"/>
        <v>0</v>
      </c>
      <c r="F95">
        <f t="shared" si="3"/>
        <v>0</v>
      </c>
    </row>
    <row r="96" spans="1:6" x14ac:dyDescent="0.2">
      <c r="A96" t="str">
        <f>Alice_Master_Analysis[[#This Row],[flight_id]]</f>
        <v>FL-00095</v>
      </c>
      <c r="B96" s="7">
        <f>Alice_Master_Analysis[[#This Row],[Net Profit]]</f>
        <v>3090.2455192399684</v>
      </c>
      <c r="C96" s="24">
        <f>Alice_Master_Analysis[[#This Row],[Net_kWh_used]]</f>
        <v>669.08741666666651</v>
      </c>
      <c r="D96">
        <v>0</v>
      </c>
      <c r="E96" s="25">
        <f t="shared" si="2"/>
        <v>0</v>
      </c>
      <c r="F96">
        <f t="shared" si="3"/>
        <v>0</v>
      </c>
    </row>
    <row r="97" spans="1:6" x14ac:dyDescent="0.2">
      <c r="A97" t="str">
        <f>Alice_Master_Analysis[[#This Row],[flight_id]]</f>
        <v>FL-00096</v>
      </c>
      <c r="B97" s="7">
        <f>Alice_Master_Analysis[[#This Row],[Net Profit]]</f>
        <v>1842.0313836397581</v>
      </c>
      <c r="C97" s="24">
        <f>Alice_Master_Analysis[[#This Row],[Net_kWh_used]]</f>
        <v>671.16000000000008</v>
      </c>
      <c r="D97">
        <v>0</v>
      </c>
      <c r="E97" s="25">
        <f t="shared" si="2"/>
        <v>0</v>
      </c>
      <c r="F97">
        <f t="shared" si="3"/>
        <v>0</v>
      </c>
    </row>
    <row r="98" spans="1:6" x14ac:dyDescent="0.2">
      <c r="A98" t="str">
        <f>Alice_Master_Analysis[[#This Row],[flight_id]]</f>
        <v>FL-00097</v>
      </c>
      <c r="B98" s="7">
        <f>Alice_Master_Analysis[[#This Row],[Net Profit]]</f>
        <v>1973.9307699967503</v>
      </c>
      <c r="C98" s="24">
        <f>Alice_Master_Analysis[[#This Row],[Net_kWh_used]]</f>
        <v>667.45966666666664</v>
      </c>
      <c r="D98">
        <v>0</v>
      </c>
      <c r="E98" s="25">
        <f t="shared" si="2"/>
        <v>0</v>
      </c>
      <c r="F98">
        <f t="shared" si="3"/>
        <v>0</v>
      </c>
    </row>
    <row r="99" spans="1:6" x14ac:dyDescent="0.2">
      <c r="A99" t="str">
        <f>Alice_Master_Analysis[[#This Row],[flight_id]]</f>
        <v>FL-00098</v>
      </c>
      <c r="B99" s="7">
        <f>Alice_Master_Analysis[[#This Row],[Net Profit]]</f>
        <v>1544.3274903912516</v>
      </c>
      <c r="C99" s="24">
        <f>Alice_Master_Analysis[[#This Row],[Net_kWh_used]]</f>
        <v>670.18816666666658</v>
      </c>
      <c r="D99">
        <v>0</v>
      </c>
      <c r="E99" s="25">
        <f t="shared" si="2"/>
        <v>0</v>
      </c>
      <c r="F99">
        <f t="shared" si="3"/>
        <v>0</v>
      </c>
    </row>
    <row r="100" spans="1:6" x14ac:dyDescent="0.2">
      <c r="A100" t="str">
        <f>Alice_Master_Analysis[[#This Row],[flight_id]]</f>
        <v>FL-00099</v>
      </c>
      <c r="B100" s="7">
        <f>Alice_Master_Analysis[[#This Row],[Net Profit]]</f>
        <v>-262.34927742934951</v>
      </c>
      <c r="C100" s="24">
        <f>Alice_Master_Analysis[[#This Row],[Net_kWh_used]]</f>
        <v>663.86983333333342</v>
      </c>
      <c r="D100">
        <v>0</v>
      </c>
      <c r="E100" s="25">
        <f t="shared" si="2"/>
        <v>0</v>
      </c>
      <c r="F100">
        <f t="shared" si="3"/>
        <v>0</v>
      </c>
    </row>
    <row r="101" spans="1:6" x14ac:dyDescent="0.2">
      <c r="A101" t="str">
        <f>Alice_Master_Analysis[[#This Row],[flight_id]]</f>
        <v>FL-00100</v>
      </c>
      <c r="B101" s="7">
        <f>Alice_Master_Analysis[[#This Row],[Net Profit]]</f>
        <v>106.97833591431436</v>
      </c>
      <c r="C101" s="24">
        <f>Alice_Master_Analysis[[#This Row],[Net_kWh_used]]</f>
        <v>667.82516666666663</v>
      </c>
      <c r="D101">
        <v>0</v>
      </c>
      <c r="E101" s="25">
        <f t="shared" si="2"/>
        <v>0</v>
      </c>
      <c r="F101">
        <f t="shared" si="3"/>
        <v>0</v>
      </c>
    </row>
  </sheetData>
  <mergeCells count="3">
    <mergeCell ref="H2:K2"/>
    <mergeCell ref="H4:K4"/>
    <mergeCell ref="H5:K5"/>
  </mergeCells>
  <conditionalFormatting sqref="D1:D1048576">
    <cfRule type="iconSet" priority="3">
      <iconSet>
        <cfvo type="percent" val="0"/>
        <cfvo type="percent" val="33"/>
        <cfvo type="percent" val="67"/>
      </iconSet>
    </cfRule>
  </conditionalFormatting>
  <conditionalFormatting sqref="E1:E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{A3E8ABC8-9E12-9248-9E78-D9BD4F311FD2}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E8ABC8-9E12-9248-9E78-D9BD4F311FD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5652-1EAD-914D-9DD7-BFD617C782FB}">
  <dimension ref="B1:H25"/>
  <sheetViews>
    <sheetView showGridLines="0" zoomScaleNormal="100" workbookViewId="0">
      <selection activeCell="G23" sqref="G23"/>
    </sheetView>
  </sheetViews>
  <sheetFormatPr baseColWidth="10" defaultRowHeight="16" x14ac:dyDescent="0.2"/>
  <cols>
    <col min="1" max="1" width="22.33203125" bestFit="1" customWidth="1"/>
    <col min="2" max="2" width="29.6640625" customWidth="1"/>
    <col min="3" max="3" width="27.33203125" style="5" customWidth="1"/>
    <col min="4" max="4" width="19.6640625" customWidth="1"/>
    <col min="5" max="5" width="20" customWidth="1"/>
    <col min="6" max="6" width="29.1640625" bestFit="1" customWidth="1"/>
    <col min="7" max="7" width="19" bestFit="1" customWidth="1"/>
    <col min="8" max="8" width="20" bestFit="1" customWidth="1"/>
  </cols>
  <sheetData>
    <row r="1" spans="2:8" x14ac:dyDescent="0.2">
      <c r="F1" s="3"/>
      <c r="G1" s="3"/>
      <c r="H1" s="3"/>
    </row>
    <row r="2" spans="2:8" ht="23" thickBot="1" x14ac:dyDescent="0.35">
      <c r="B2" s="50" t="s">
        <v>176</v>
      </c>
      <c r="C2" s="80"/>
      <c r="D2" s="80"/>
      <c r="E2" s="81"/>
      <c r="F2" s="3"/>
      <c r="G2" s="3"/>
      <c r="H2" s="3"/>
    </row>
    <row r="3" spans="2:8" ht="23" thickTop="1" x14ac:dyDescent="0.3">
      <c r="B3" s="40" t="s">
        <v>223</v>
      </c>
      <c r="C3" s="83" t="s">
        <v>190</v>
      </c>
      <c r="D3" s="84">
        <v>2200</v>
      </c>
      <c r="E3" s="85" t="s">
        <v>109</v>
      </c>
      <c r="F3" s="3"/>
      <c r="G3" s="3"/>
      <c r="H3" s="3"/>
    </row>
    <row r="4" spans="2:8" ht="22" x14ac:dyDescent="0.3">
      <c r="B4" s="51"/>
      <c r="C4" s="94" t="s">
        <v>151</v>
      </c>
      <c r="D4" s="84">
        <v>35</v>
      </c>
      <c r="E4" s="85" t="s">
        <v>152</v>
      </c>
      <c r="F4" s="3"/>
      <c r="G4" s="3"/>
      <c r="H4" s="3"/>
    </row>
    <row r="5" spans="2:8" ht="22" x14ac:dyDescent="0.3">
      <c r="B5" s="51"/>
      <c r="C5" s="83" t="s">
        <v>153</v>
      </c>
      <c r="D5" s="84">
        <v>58</v>
      </c>
      <c r="E5" s="85" t="s">
        <v>154</v>
      </c>
      <c r="F5" s="3"/>
      <c r="G5" s="3"/>
      <c r="H5" s="3"/>
    </row>
    <row r="6" spans="2:8" ht="22" x14ac:dyDescent="0.3">
      <c r="B6" s="51"/>
      <c r="C6" s="83" t="s">
        <v>163</v>
      </c>
      <c r="D6" s="84">
        <v>2.25</v>
      </c>
      <c r="E6" s="85" t="s">
        <v>123</v>
      </c>
      <c r="F6" s="3"/>
      <c r="G6" s="3"/>
      <c r="H6" s="3"/>
    </row>
    <row r="7" spans="2:8" ht="22" x14ac:dyDescent="0.3">
      <c r="B7" s="51"/>
      <c r="C7" s="9"/>
      <c r="D7" s="54"/>
      <c r="E7" s="55"/>
      <c r="F7" s="3"/>
      <c r="G7" s="3"/>
      <c r="H7" s="3"/>
    </row>
    <row r="8" spans="2:8" ht="20" x14ac:dyDescent="0.2">
      <c r="B8" s="51"/>
      <c r="C8" s="8"/>
      <c r="D8" s="56"/>
      <c r="E8" s="53"/>
      <c r="F8" s="3"/>
      <c r="G8" s="3"/>
      <c r="H8" s="3"/>
    </row>
    <row r="9" spans="2:8" ht="22" x14ac:dyDescent="0.3">
      <c r="B9" s="82" t="s">
        <v>166</v>
      </c>
      <c r="C9" s="86" t="s">
        <v>155</v>
      </c>
      <c r="D9" s="87">
        <v>1.17432263</v>
      </c>
      <c r="E9" s="88"/>
      <c r="F9" s="3"/>
      <c r="G9" s="3"/>
      <c r="H9" s="3"/>
    </row>
    <row r="10" spans="2:8" ht="22" x14ac:dyDescent="0.3">
      <c r="B10" s="78"/>
      <c r="C10" s="93" t="s">
        <v>225</v>
      </c>
      <c r="D10" s="87">
        <v>1.0008E-4</v>
      </c>
      <c r="E10" s="88"/>
      <c r="F10" s="3"/>
      <c r="G10" s="3"/>
      <c r="H10" s="3"/>
    </row>
    <row r="11" spans="2:8" ht="22" x14ac:dyDescent="0.3">
      <c r="B11" s="78"/>
      <c r="C11" s="86" t="s">
        <v>226</v>
      </c>
      <c r="D11" s="87">
        <f>-0.01089176</f>
        <v>-1.089176E-2</v>
      </c>
      <c r="E11" s="88"/>
      <c r="F11" s="3"/>
      <c r="G11" s="3"/>
      <c r="H11" s="3"/>
    </row>
    <row r="12" spans="2:8" ht="22" x14ac:dyDescent="0.3">
      <c r="B12" s="78"/>
      <c r="C12" s="86" t="s">
        <v>224</v>
      </c>
      <c r="D12" s="87">
        <v>1.81E-8</v>
      </c>
      <c r="E12" s="88"/>
      <c r="F12" s="3"/>
      <c r="G12" s="3"/>
      <c r="H12" s="3"/>
    </row>
    <row r="13" spans="2:8" ht="22" x14ac:dyDescent="0.3">
      <c r="B13" s="78"/>
      <c r="C13" s="86" t="s">
        <v>227</v>
      </c>
      <c r="D13" s="87">
        <v>-9.0699999999999996E-7</v>
      </c>
      <c r="E13" s="88"/>
      <c r="F13" s="3"/>
      <c r="G13" s="3"/>
      <c r="H13" s="3"/>
    </row>
    <row r="14" spans="2:8" ht="22" x14ac:dyDescent="0.3">
      <c r="B14" s="78"/>
      <c r="C14" s="86" t="s">
        <v>228</v>
      </c>
      <c r="D14" s="87">
        <v>2.5076999999999999E-4</v>
      </c>
      <c r="E14" s="88"/>
      <c r="F14" s="3"/>
      <c r="G14" s="3"/>
      <c r="H14" s="3"/>
    </row>
    <row r="15" spans="2:8" ht="22" x14ac:dyDescent="0.3">
      <c r="B15" s="78"/>
      <c r="C15" s="86" t="s">
        <v>156</v>
      </c>
      <c r="D15" s="89">
        <f>D9 + (D10*D3) + (D11*D4) + (D12*(D3^2)) + (D13*D3*D4) + (D14*(D4^2))</f>
        <v>1.3382452799999998</v>
      </c>
      <c r="E15" s="85" t="s">
        <v>157</v>
      </c>
      <c r="F15" s="3"/>
      <c r="G15" s="3"/>
      <c r="H15" s="3"/>
    </row>
    <row r="16" spans="2:8" ht="20" x14ac:dyDescent="0.2">
      <c r="B16" s="78"/>
      <c r="C16" s="8"/>
      <c r="D16" s="56"/>
      <c r="E16" s="79"/>
      <c r="F16" s="3"/>
      <c r="G16" s="3"/>
      <c r="H16" s="3"/>
    </row>
    <row r="17" spans="2:8" ht="22" x14ac:dyDescent="0.3">
      <c r="B17" s="82" t="s">
        <v>165</v>
      </c>
      <c r="C17" s="90" t="s">
        <v>158</v>
      </c>
      <c r="D17" s="91">
        <f>100-D5*D15</f>
        <v>22.381773760000016</v>
      </c>
      <c r="E17" s="85" t="s">
        <v>229</v>
      </c>
      <c r="F17" s="3"/>
      <c r="G17" s="3"/>
      <c r="H17" s="3"/>
    </row>
    <row r="18" spans="2:8" ht="22" x14ac:dyDescent="0.3">
      <c r="B18" s="78"/>
      <c r="C18" s="95" t="s">
        <v>159</v>
      </c>
      <c r="D18" s="92" t="str">
        <f>IF(C17 &lt; 20, "REJECTED", "CLEARED")</f>
        <v>CLEARED</v>
      </c>
      <c r="E18" s="85" t="s">
        <v>169</v>
      </c>
      <c r="F18" s="3"/>
      <c r="G18" s="1"/>
      <c r="H18" s="19"/>
    </row>
    <row r="19" spans="2:8" ht="20" x14ac:dyDescent="0.2">
      <c r="B19" s="78"/>
      <c r="C19" s="8"/>
      <c r="D19" s="56"/>
      <c r="E19" s="53"/>
      <c r="F19" s="3"/>
      <c r="G19" s="1"/>
      <c r="H19" s="20"/>
    </row>
    <row r="20" spans="2:8" ht="22" x14ac:dyDescent="0.3">
      <c r="B20" s="97" t="s">
        <v>164</v>
      </c>
      <c r="C20" s="90" t="s">
        <v>105</v>
      </c>
      <c r="D20" s="96">
        <f>D3*D6</f>
        <v>4950</v>
      </c>
      <c r="E20" s="88"/>
      <c r="F20" s="3"/>
      <c r="G20" s="1"/>
      <c r="H20" s="21"/>
    </row>
    <row r="21" spans="2:8" ht="22" x14ac:dyDescent="0.3">
      <c r="B21" s="51"/>
      <c r="C21" s="90" t="s">
        <v>167</v>
      </c>
      <c r="D21" s="96">
        <f>( (100 - D17) / 100 * val_capacity ) * val_elec_rate * val_charging_loss</f>
        <v>133.00659248486397</v>
      </c>
      <c r="E21" s="98"/>
      <c r="F21" s="8"/>
      <c r="G21" s="1"/>
      <c r="H21" s="21"/>
    </row>
    <row r="22" spans="2:8" ht="22" x14ac:dyDescent="0.3">
      <c r="B22" s="51"/>
      <c r="C22" s="90" t="s">
        <v>168</v>
      </c>
      <c r="D22" s="96">
        <f>(val_battery_cost / val_cycle) * ( 1 + (D3 / val_max_payload) * val_stress_factor )</f>
        <v>284.66666666666669</v>
      </c>
      <c r="E22" s="98"/>
      <c r="F22" s="8"/>
      <c r="G22" s="1"/>
      <c r="H22" s="21"/>
    </row>
    <row r="23" spans="2:8" ht="22" x14ac:dyDescent="0.3">
      <c r="B23" s="51"/>
      <c r="C23" s="90" t="s">
        <v>160</v>
      </c>
      <c r="D23" s="96">
        <f>D22+D21+val_ground_ops</f>
        <v>1617.6732591515306</v>
      </c>
      <c r="E23" s="88"/>
      <c r="F23" s="9"/>
      <c r="G23" s="1"/>
      <c r="H23" s="20"/>
    </row>
    <row r="24" spans="2:8" ht="22" x14ac:dyDescent="0.3">
      <c r="B24" s="32"/>
      <c r="C24" s="90" t="s">
        <v>161</v>
      </c>
      <c r="D24" s="96">
        <f>D20-D23</f>
        <v>3332.3267408484694</v>
      </c>
      <c r="E24" s="88"/>
      <c r="F24" s="9"/>
      <c r="G24" s="1"/>
      <c r="H24" s="22"/>
    </row>
    <row r="25" spans="2:8" ht="22" x14ac:dyDescent="0.3">
      <c r="B25" s="52"/>
      <c r="C25" s="90" t="s">
        <v>162</v>
      </c>
      <c r="D25" s="99">
        <f>D24/D20</f>
        <v>0.67319732138352917</v>
      </c>
      <c r="E25" s="8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9E82BB-DCBB-BB47-9E81-9EA3F2A346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Executive Summary</vt:lpstr>
      <vt:lpstr>Alice_ROI_Analysis</vt:lpstr>
      <vt:lpstr>Payload Breakeven</vt:lpstr>
      <vt:lpstr>Firmware AB Testing</vt:lpstr>
      <vt:lpstr>Tool_Fleet_Optimization_Solver</vt:lpstr>
      <vt:lpstr>Tool_MissionUnit_ROI</vt:lpstr>
      <vt:lpstr>val_battery_cost</vt:lpstr>
      <vt:lpstr>val_capacity</vt:lpstr>
      <vt:lpstr>val_charging_loss</vt:lpstr>
      <vt:lpstr>val_cycle</vt:lpstr>
      <vt:lpstr>val_elec_rate</vt:lpstr>
      <vt:lpstr>val_ground_ops</vt:lpstr>
      <vt:lpstr>val_max_payload</vt:lpstr>
      <vt:lpstr>val_stress_factor</vt:lpstr>
      <vt:lpstr>val_yield_rate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Gan</dc:creator>
  <cp:lastModifiedBy>Kat Gan</cp:lastModifiedBy>
  <dcterms:created xsi:type="dcterms:W3CDTF">2026-04-01T22:02:16Z</dcterms:created>
  <dcterms:modified xsi:type="dcterms:W3CDTF">2026-04-11T23:19:48Z</dcterms:modified>
</cp:coreProperties>
</file>