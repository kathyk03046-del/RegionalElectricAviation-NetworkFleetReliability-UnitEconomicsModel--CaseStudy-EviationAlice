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xuangan_home/Downloads/pandas-demo.ipynb/Project_Alice_Aviation.ipynb/aviation_data_gen/aviation_data/"/>
    </mc:Choice>
  </mc:AlternateContent>
  <xr:revisionPtr revIDLastSave="0" documentId="13_ncr:9_{B444A01E-A6D3-F041-94A1-A2773899E4AA}" xr6:coauthVersionLast="47" xr6:coauthVersionMax="47" xr10:uidLastSave="{00000000-0000-0000-0000-000000000000}"/>
  <bookViews>
    <workbookView xWindow="0" yWindow="760" windowWidth="34200" windowHeight="21380" xr2:uid="{545C68F0-ED14-434A-8B04-9F97BEFF5D98}"/>
  </bookViews>
  <sheets>
    <sheet name="Executive Summary" sheetId="3" r:id="rId1"/>
    <sheet name="Financial_Analysis_View" sheetId="2" r:id="rId2"/>
    <sheet name="Insights_Analysis" sheetId="21" r:id="rId3"/>
    <sheet name="Tool_MissionUnit_ROI" sheetId="10" r:id="rId4"/>
    <sheet name="Tool_Fleet_Optimization_Solver" sheetId="19" r:id="rId5"/>
    <sheet name="View_Sensitivity Scenario" sheetId="20" r:id="rId6"/>
  </sheets>
  <definedNames>
    <definedName name="ExternalData_1" localSheetId="1" hidden="1">Financial_Analysis_View!$A$1:$J$101</definedName>
    <definedName name="solver_adj" localSheetId="4" hidden="1">Tool_Fleet_Optimization_Solver!$D$2:$D$101</definedName>
    <definedName name="solver_cvg" localSheetId="4" hidden="1">0.0001</definedName>
    <definedName name="solver_drv" localSheetId="4" hidden="1">1</definedName>
    <definedName name="solver_eng" localSheetId="4" hidden="1">1</definedName>
    <definedName name="solver_itr" localSheetId="4" hidden="1">2147483647</definedName>
    <definedName name="solver_lhs1" localSheetId="4" hidden="1">Tool_Fleet_Optimization_Solver!$D$2:$D$101</definedName>
    <definedName name="solver_lhs2" localSheetId="4" hidden="1">Tool_Fleet_Optimization_Solver!$K$7</definedName>
    <definedName name="solver_lin" localSheetId="4" hidden="1">2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2</definedName>
    <definedName name="solver_opt" localSheetId="4" hidden="1">Tool_Fleet_Optimization_Solver!$K$9</definedName>
    <definedName name="solver_pre" localSheetId="4" hidden="1">0.000001</definedName>
    <definedName name="solver_rbv" localSheetId="4" hidden="1">1</definedName>
    <definedName name="solver_rel1" localSheetId="4" hidden="1">5</definedName>
    <definedName name="solver_rel2" localSheetId="4" hidden="1">1</definedName>
    <definedName name="solver_rhs1" localSheetId="4" hidden="1">"binary"</definedName>
    <definedName name="solver_rhs2" localSheetId="4" hidden="1">8000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1</definedName>
    <definedName name="solver_val" localSheetId="4" hidden="1">0</definedName>
    <definedName name="solver_ver" localSheetId="4" hidden="1">2</definedName>
    <definedName name="val_battery_cost">'Executive Summary'!$G$6</definedName>
    <definedName name="val_capacity">'Executive Summary'!$G$3</definedName>
    <definedName name="val_charging_loss">'Executive Summary'!$G$10</definedName>
    <definedName name="val_cycle">'Executive Summary'!$G$7</definedName>
    <definedName name="val_elec_rate">'Executive Summary'!$G$5</definedName>
    <definedName name="val_ground_ops">'Executive Summary'!$G$9</definedName>
    <definedName name="val_max_payload">'Executive Summary'!$G$4</definedName>
    <definedName name="val_stress_factor">'Executive Summary'!$G$8</definedName>
    <definedName name="val_yield_rate">'Executive Summary'!$G$11</definedName>
  </definedNames>
  <calcPr calcId="191029"/>
  <pivotCaches>
    <pivotCache cacheId="68" r:id="rId7"/>
    <pivotCache cacheId="63" r:id="rId8"/>
    <pivotCache cacheId="7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21" l="1"/>
  <c r="K10" i="19"/>
  <c r="A3" i="19"/>
  <c r="A4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2" i="19"/>
  <c r="G17" i="3"/>
  <c r="D15" i="10"/>
  <c r="D17" i="10"/>
  <c r="D19" i="10"/>
  <c r="D12" i="10"/>
  <c r="D14" i="10" s="1"/>
  <c r="D18" i="10" s="1"/>
  <c r="Q2" i="2"/>
  <c r="C2" i="19" s="1"/>
  <c r="F2" i="19" s="1"/>
  <c r="Q3" i="2"/>
  <c r="C3" i="19" s="1"/>
  <c r="F3" i="19" s="1"/>
  <c r="Q4" i="2"/>
  <c r="C4" i="19" s="1"/>
  <c r="F4" i="19" s="1"/>
  <c r="Q5" i="2"/>
  <c r="C5" i="19" s="1"/>
  <c r="F5" i="19" s="1"/>
  <c r="Q6" i="2"/>
  <c r="C6" i="19" s="1"/>
  <c r="F6" i="19" s="1"/>
  <c r="Q7" i="2"/>
  <c r="C7" i="19" s="1"/>
  <c r="F7" i="19" s="1"/>
  <c r="Q8" i="2"/>
  <c r="C8" i="19" s="1"/>
  <c r="F8" i="19" s="1"/>
  <c r="Q9" i="2"/>
  <c r="C9" i="19" s="1"/>
  <c r="F9" i="19" s="1"/>
  <c r="Q10" i="2"/>
  <c r="C10" i="19" s="1"/>
  <c r="F10" i="19" s="1"/>
  <c r="Q11" i="2"/>
  <c r="C11" i="19" s="1"/>
  <c r="F11" i="19" s="1"/>
  <c r="Q12" i="2"/>
  <c r="C12" i="19" s="1"/>
  <c r="F12" i="19" s="1"/>
  <c r="Q13" i="2"/>
  <c r="C13" i="19" s="1"/>
  <c r="F13" i="19" s="1"/>
  <c r="Q14" i="2"/>
  <c r="C14" i="19" s="1"/>
  <c r="F14" i="19" s="1"/>
  <c r="Q15" i="2"/>
  <c r="C15" i="19" s="1"/>
  <c r="F15" i="19" s="1"/>
  <c r="Q16" i="2"/>
  <c r="C16" i="19" s="1"/>
  <c r="F16" i="19" s="1"/>
  <c r="Q17" i="2"/>
  <c r="C17" i="19" s="1"/>
  <c r="F17" i="19" s="1"/>
  <c r="Q18" i="2"/>
  <c r="C18" i="19" s="1"/>
  <c r="F18" i="19" s="1"/>
  <c r="Q19" i="2"/>
  <c r="C19" i="19" s="1"/>
  <c r="F19" i="19" s="1"/>
  <c r="Q20" i="2"/>
  <c r="C20" i="19" s="1"/>
  <c r="F20" i="19" s="1"/>
  <c r="Q21" i="2"/>
  <c r="C21" i="19" s="1"/>
  <c r="F21" i="19" s="1"/>
  <c r="Q22" i="2"/>
  <c r="C22" i="19" s="1"/>
  <c r="F22" i="19" s="1"/>
  <c r="Q23" i="2"/>
  <c r="C23" i="19" s="1"/>
  <c r="F23" i="19" s="1"/>
  <c r="Q24" i="2"/>
  <c r="C24" i="19" s="1"/>
  <c r="F24" i="19" s="1"/>
  <c r="Q25" i="2"/>
  <c r="C25" i="19" s="1"/>
  <c r="F25" i="19" s="1"/>
  <c r="Q26" i="2"/>
  <c r="C26" i="19" s="1"/>
  <c r="F26" i="19" s="1"/>
  <c r="Q27" i="2"/>
  <c r="C27" i="19" s="1"/>
  <c r="F27" i="19" s="1"/>
  <c r="Q28" i="2"/>
  <c r="C28" i="19" s="1"/>
  <c r="F28" i="19" s="1"/>
  <c r="Q29" i="2"/>
  <c r="C29" i="19" s="1"/>
  <c r="F29" i="19" s="1"/>
  <c r="Q30" i="2"/>
  <c r="C30" i="19" s="1"/>
  <c r="F30" i="19" s="1"/>
  <c r="Q31" i="2"/>
  <c r="C31" i="19" s="1"/>
  <c r="F31" i="19" s="1"/>
  <c r="Q32" i="2"/>
  <c r="C32" i="19" s="1"/>
  <c r="F32" i="19" s="1"/>
  <c r="Q33" i="2"/>
  <c r="C33" i="19" s="1"/>
  <c r="F33" i="19" s="1"/>
  <c r="Q34" i="2"/>
  <c r="C34" i="19" s="1"/>
  <c r="F34" i="19" s="1"/>
  <c r="Q35" i="2"/>
  <c r="C35" i="19" s="1"/>
  <c r="F35" i="19" s="1"/>
  <c r="Q36" i="2"/>
  <c r="C36" i="19" s="1"/>
  <c r="F36" i="19" s="1"/>
  <c r="Q37" i="2"/>
  <c r="C37" i="19" s="1"/>
  <c r="F37" i="19" s="1"/>
  <c r="Q38" i="2"/>
  <c r="C38" i="19" s="1"/>
  <c r="F38" i="19" s="1"/>
  <c r="Q39" i="2"/>
  <c r="C39" i="19" s="1"/>
  <c r="F39" i="19" s="1"/>
  <c r="Q40" i="2"/>
  <c r="C40" i="19" s="1"/>
  <c r="F40" i="19" s="1"/>
  <c r="Q41" i="2"/>
  <c r="C41" i="19" s="1"/>
  <c r="F41" i="19" s="1"/>
  <c r="Q42" i="2"/>
  <c r="C42" i="19" s="1"/>
  <c r="F42" i="19" s="1"/>
  <c r="Q43" i="2"/>
  <c r="C43" i="19" s="1"/>
  <c r="F43" i="19" s="1"/>
  <c r="Q44" i="2"/>
  <c r="C44" i="19" s="1"/>
  <c r="F44" i="19" s="1"/>
  <c r="Q45" i="2"/>
  <c r="C45" i="19" s="1"/>
  <c r="F45" i="19" s="1"/>
  <c r="Q46" i="2"/>
  <c r="C46" i="19" s="1"/>
  <c r="F46" i="19" s="1"/>
  <c r="Q47" i="2"/>
  <c r="C47" i="19" s="1"/>
  <c r="F47" i="19" s="1"/>
  <c r="Q48" i="2"/>
  <c r="C48" i="19" s="1"/>
  <c r="F48" i="19" s="1"/>
  <c r="Q49" i="2"/>
  <c r="C49" i="19" s="1"/>
  <c r="F49" i="19" s="1"/>
  <c r="Q50" i="2"/>
  <c r="C50" i="19" s="1"/>
  <c r="F50" i="19" s="1"/>
  <c r="Q51" i="2"/>
  <c r="C51" i="19" s="1"/>
  <c r="F51" i="19" s="1"/>
  <c r="Q52" i="2"/>
  <c r="C52" i="19" s="1"/>
  <c r="F52" i="19" s="1"/>
  <c r="Q53" i="2"/>
  <c r="C53" i="19" s="1"/>
  <c r="F53" i="19" s="1"/>
  <c r="Q54" i="2"/>
  <c r="C54" i="19" s="1"/>
  <c r="F54" i="19" s="1"/>
  <c r="Q55" i="2"/>
  <c r="C55" i="19" s="1"/>
  <c r="F55" i="19" s="1"/>
  <c r="Q56" i="2"/>
  <c r="C56" i="19" s="1"/>
  <c r="F56" i="19" s="1"/>
  <c r="Q57" i="2"/>
  <c r="C57" i="19" s="1"/>
  <c r="F57" i="19" s="1"/>
  <c r="Q58" i="2"/>
  <c r="C58" i="19" s="1"/>
  <c r="F58" i="19" s="1"/>
  <c r="Q59" i="2"/>
  <c r="C59" i="19" s="1"/>
  <c r="F59" i="19" s="1"/>
  <c r="Q60" i="2"/>
  <c r="C60" i="19" s="1"/>
  <c r="F60" i="19" s="1"/>
  <c r="Q61" i="2"/>
  <c r="C61" i="19" s="1"/>
  <c r="F61" i="19" s="1"/>
  <c r="Q62" i="2"/>
  <c r="C62" i="19" s="1"/>
  <c r="F62" i="19" s="1"/>
  <c r="Q63" i="2"/>
  <c r="C63" i="19" s="1"/>
  <c r="F63" i="19" s="1"/>
  <c r="Q64" i="2"/>
  <c r="C64" i="19" s="1"/>
  <c r="F64" i="19" s="1"/>
  <c r="Q65" i="2"/>
  <c r="C65" i="19" s="1"/>
  <c r="F65" i="19" s="1"/>
  <c r="Q66" i="2"/>
  <c r="C66" i="19" s="1"/>
  <c r="F66" i="19" s="1"/>
  <c r="Q67" i="2"/>
  <c r="C67" i="19" s="1"/>
  <c r="F67" i="19" s="1"/>
  <c r="Q68" i="2"/>
  <c r="C68" i="19" s="1"/>
  <c r="F68" i="19" s="1"/>
  <c r="Q69" i="2"/>
  <c r="C69" i="19" s="1"/>
  <c r="F69" i="19" s="1"/>
  <c r="Q70" i="2"/>
  <c r="C70" i="19" s="1"/>
  <c r="F70" i="19" s="1"/>
  <c r="Q71" i="2"/>
  <c r="C71" i="19" s="1"/>
  <c r="F71" i="19" s="1"/>
  <c r="Q72" i="2"/>
  <c r="C72" i="19" s="1"/>
  <c r="F72" i="19" s="1"/>
  <c r="Q73" i="2"/>
  <c r="C73" i="19" s="1"/>
  <c r="F73" i="19" s="1"/>
  <c r="Q74" i="2"/>
  <c r="C74" i="19" s="1"/>
  <c r="F74" i="19" s="1"/>
  <c r="Q75" i="2"/>
  <c r="C75" i="19" s="1"/>
  <c r="F75" i="19" s="1"/>
  <c r="Q76" i="2"/>
  <c r="C76" i="19" s="1"/>
  <c r="F76" i="19" s="1"/>
  <c r="Q77" i="2"/>
  <c r="C77" i="19" s="1"/>
  <c r="F77" i="19" s="1"/>
  <c r="Q78" i="2"/>
  <c r="C78" i="19" s="1"/>
  <c r="F78" i="19" s="1"/>
  <c r="Q79" i="2"/>
  <c r="C79" i="19" s="1"/>
  <c r="F79" i="19" s="1"/>
  <c r="Q80" i="2"/>
  <c r="C80" i="19" s="1"/>
  <c r="F80" i="19" s="1"/>
  <c r="Q81" i="2"/>
  <c r="C81" i="19" s="1"/>
  <c r="F81" i="19" s="1"/>
  <c r="Q82" i="2"/>
  <c r="C82" i="19" s="1"/>
  <c r="F82" i="19" s="1"/>
  <c r="Q83" i="2"/>
  <c r="C83" i="19" s="1"/>
  <c r="F83" i="19" s="1"/>
  <c r="Q84" i="2"/>
  <c r="C84" i="19" s="1"/>
  <c r="F84" i="19" s="1"/>
  <c r="Q85" i="2"/>
  <c r="C85" i="19" s="1"/>
  <c r="F85" i="19" s="1"/>
  <c r="Q86" i="2"/>
  <c r="C86" i="19" s="1"/>
  <c r="F86" i="19" s="1"/>
  <c r="Q87" i="2"/>
  <c r="C87" i="19" s="1"/>
  <c r="F87" i="19" s="1"/>
  <c r="Q88" i="2"/>
  <c r="C88" i="19" s="1"/>
  <c r="F88" i="19" s="1"/>
  <c r="Q89" i="2"/>
  <c r="C89" i="19" s="1"/>
  <c r="F89" i="19" s="1"/>
  <c r="Q90" i="2"/>
  <c r="C90" i="19" s="1"/>
  <c r="F90" i="19" s="1"/>
  <c r="Q91" i="2"/>
  <c r="C91" i="19" s="1"/>
  <c r="F91" i="19" s="1"/>
  <c r="Q92" i="2"/>
  <c r="C92" i="19" s="1"/>
  <c r="F92" i="19" s="1"/>
  <c r="Q93" i="2"/>
  <c r="C93" i="19" s="1"/>
  <c r="F93" i="19" s="1"/>
  <c r="Q94" i="2"/>
  <c r="C94" i="19" s="1"/>
  <c r="F94" i="19" s="1"/>
  <c r="Q95" i="2"/>
  <c r="C95" i="19" s="1"/>
  <c r="F95" i="19" s="1"/>
  <c r="Q96" i="2"/>
  <c r="C96" i="19" s="1"/>
  <c r="F96" i="19" s="1"/>
  <c r="Q97" i="2"/>
  <c r="C97" i="19" s="1"/>
  <c r="F97" i="19" s="1"/>
  <c r="Q98" i="2"/>
  <c r="C98" i="19" s="1"/>
  <c r="F98" i="19" s="1"/>
  <c r="Q99" i="2"/>
  <c r="C99" i="19" s="1"/>
  <c r="F99" i="19" s="1"/>
  <c r="Q100" i="2"/>
  <c r="C100" i="19" s="1"/>
  <c r="F100" i="19" s="1"/>
  <c r="Q101" i="2"/>
  <c r="C101" i="19" s="1"/>
  <c r="F101" i="19" s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I17" i="21"/>
  <c r="I16" i="21"/>
  <c r="O5" i="21"/>
  <c r="O6" i="21" s="1"/>
  <c r="K7" i="19" l="1"/>
  <c r="K11" i="19" s="1"/>
  <c r="D20" i="10"/>
  <c r="D21" i="10" s="1"/>
  <c r="D22" i="10" s="1"/>
  <c r="R101" i="2"/>
  <c r="U101" i="2" s="1"/>
  <c r="R93" i="2"/>
  <c r="U93" i="2" s="1"/>
  <c r="R85" i="2"/>
  <c r="U85" i="2" s="1"/>
  <c r="R77" i="2"/>
  <c r="U77" i="2" s="1"/>
  <c r="R69" i="2"/>
  <c r="U69" i="2" s="1"/>
  <c r="R61" i="2"/>
  <c r="U61" i="2" s="1"/>
  <c r="R53" i="2"/>
  <c r="U53" i="2" s="1"/>
  <c r="R45" i="2"/>
  <c r="U45" i="2" s="1"/>
  <c r="R37" i="2"/>
  <c r="U37" i="2" s="1"/>
  <c r="R29" i="2"/>
  <c r="U29" i="2" s="1"/>
  <c r="R21" i="2"/>
  <c r="U21" i="2" s="1"/>
  <c r="R13" i="2"/>
  <c r="U13" i="2" s="1"/>
  <c r="R5" i="2"/>
  <c r="U5" i="2" s="1"/>
  <c r="R94" i="2"/>
  <c r="U94" i="2" s="1"/>
  <c r="R86" i="2"/>
  <c r="U86" i="2" s="1"/>
  <c r="R78" i="2"/>
  <c r="U78" i="2" s="1"/>
  <c r="R70" i="2"/>
  <c r="U70" i="2" s="1"/>
  <c r="R62" i="2"/>
  <c r="U62" i="2" s="1"/>
  <c r="R54" i="2"/>
  <c r="U54" i="2" s="1"/>
  <c r="R46" i="2"/>
  <c r="U46" i="2" s="1"/>
  <c r="R38" i="2"/>
  <c r="U38" i="2" s="1"/>
  <c r="R30" i="2"/>
  <c r="U30" i="2" s="1"/>
  <c r="R22" i="2"/>
  <c r="U22" i="2" s="1"/>
  <c r="R14" i="2"/>
  <c r="U14" i="2" s="1"/>
  <c r="R6" i="2"/>
  <c r="U6" i="2" s="1"/>
  <c r="R96" i="2"/>
  <c r="U96" i="2" s="1"/>
  <c r="R88" i="2"/>
  <c r="U88" i="2" s="1"/>
  <c r="R80" i="2"/>
  <c r="U80" i="2" s="1"/>
  <c r="R72" i="2"/>
  <c r="U72" i="2" s="1"/>
  <c r="R64" i="2"/>
  <c r="U64" i="2" s="1"/>
  <c r="R56" i="2"/>
  <c r="U56" i="2" s="1"/>
  <c r="R48" i="2"/>
  <c r="U48" i="2" s="1"/>
  <c r="R40" i="2"/>
  <c r="U40" i="2" s="1"/>
  <c r="R32" i="2"/>
  <c r="U32" i="2" s="1"/>
  <c r="R24" i="2"/>
  <c r="U24" i="2" s="1"/>
  <c r="R16" i="2"/>
  <c r="U16" i="2" s="1"/>
  <c r="R8" i="2"/>
  <c r="U8" i="2" s="1"/>
  <c r="R95" i="2"/>
  <c r="U95" i="2" s="1"/>
  <c r="R87" i="2"/>
  <c r="U87" i="2" s="1"/>
  <c r="R79" i="2"/>
  <c r="U79" i="2" s="1"/>
  <c r="R71" i="2"/>
  <c r="U71" i="2" s="1"/>
  <c r="R63" i="2"/>
  <c r="U63" i="2" s="1"/>
  <c r="R55" i="2"/>
  <c r="U55" i="2" s="1"/>
  <c r="R47" i="2"/>
  <c r="U47" i="2" s="1"/>
  <c r="R39" i="2"/>
  <c r="U39" i="2" s="1"/>
  <c r="R31" i="2"/>
  <c r="U31" i="2" s="1"/>
  <c r="R23" i="2"/>
  <c r="U23" i="2" s="1"/>
  <c r="R15" i="2"/>
  <c r="U15" i="2" s="1"/>
  <c r="R7" i="2"/>
  <c r="U7" i="2" s="1"/>
  <c r="R97" i="2"/>
  <c r="U97" i="2" s="1"/>
  <c r="R89" i="2"/>
  <c r="U89" i="2" s="1"/>
  <c r="R81" i="2"/>
  <c r="U81" i="2" s="1"/>
  <c r="R73" i="2"/>
  <c r="U73" i="2" s="1"/>
  <c r="R65" i="2"/>
  <c r="U65" i="2" s="1"/>
  <c r="R57" i="2"/>
  <c r="U57" i="2" s="1"/>
  <c r="R49" i="2"/>
  <c r="U49" i="2" s="1"/>
  <c r="R41" i="2"/>
  <c r="U41" i="2" s="1"/>
  <c r="R33" i="2"/>
  <c r="U33" i="2" s="1"/>
  <c r="R25" i="2"/>
  <c r="U25" i="2" s="1"/>
  <c r="R17" i="2"/>
  <c r="U17" i="2" s="1"/>
  <c r="R9" i="2"/>
  <c r="U9" i="2" s="1"/>
  <c r="R100" i="2"/>
  <c r="U100" i="2" s="1"/>
  <c r="R84" i="2"/>
  <c r="U84" i="2" s="1"/>
  <c r="R76" i="2"/>
  <c r="U76" i="2" s="1"/>
  <c r="R68" i="2"/>
  <c r="U68" i="2" s="1"/>
  <c r="R60" i="2"/>
  <c r="U60" i="2" s="1"/>
  <c r="R52" i="2"/>
  <c r="U52" i="2" s="1"/>
  <c r="R44" i="2"/>
  <c r="U44" i="2" s="1"/>
  <c r="R36" i="2"/>
  <c r="U36" i="2" s="1"/>
  <c r="R28" i="2"/>
  <c r="U28" i="2" s="1"/>
  <c r="R20" i="2"/>
  <c r="U20" i="2" s="1"/>
  <c r="R12" i="2"/>
  <c r="U12" i="2" s="1"/>
  <c r="R4" i="2"/>
  <c r="U4" i="2" s="1"/>
  <c r="R92" i="2"/>
  <c r="U92" i="2" s="1"/>
  <c r="R99" i="2"/>
  <c r="U99" i="2" s="1"/>
  <c r="R91" i="2"/>
  <c r="U91" i="2" s="1"/>
  <c r="R83" i="2"/>
  <c r="U83" i="2" s="1"/>
  <c r="R75" i="2"/>
  <c r="U75" i="2" s="1"/>
  <c r="R67" i="2"/>
  <c r="U67" i="2" s="1"/>
  <c r="R59" i="2"/>
  <c r="U59" i="2" s="1"/>
  <c r="R51" i="2"/>
  <c r="U51" i="2" s="1"/>
  <c r="R43" i="2"/>
  <c r="U43" i="2" s="1"/>
  <c r="R35" i="2"/>
  <c r="U35" i="2" s="1"/>
  <c r="R27" i="2"/>
  <c r="U27" i="2" s="1"/>
  <c r="R19" i="2"/>
  <c r="U19" i="2" s="1"/>
  <c r="R11" i="2"/>
  <c r="U11" i="2" s="1"/>
  <c r="R3" i="2"/>
  <c r="U3" i="2" s="1"/>
  <c r="R98" i="2"/>
  <c r="U98" i="2" s="1"/>
  <c r="R90" i="2"/>
  <c r="U90" i="2" s="1"/>
  <c r="R82" i="2"/>
  <c r="U82" i="2" s="1"/>
  <c r="R74" i="2"/>
  <c r="U74" i="2" s="1"/>
  <c r="R66" i="2"/>
  <c r="U66" i="2" s="1"/>
  <c r="R58" i="2"/>
  <c r="U58" i="2" s="1"/>
  <c r="R50" i="2"/>
  <c r="U50" i="2" s="1"/>
  <c r="R42" i="2"/>
  <c r="U42" i="2" s="1"/>
  <c r="R34" i="2"/>
  <c r="U34" i="2" s="1"/>
  <c r="R26" i="2"/>
  <c r="U26" i="2" s="1"/>
  <c r="R18" i="2"/>
  <c r="U18" i="2" s="1"/>
  <c r="R10" i="2"/>
  <c r="U10" i="2" s="1"/>
  <c r="R2" i="2"/>
  <c r="U2" i="2" s="1"/>
  <c r="M95" i="2"/>
  <c r="O95" i="2" s="1"/>
  <c r="M98" i="2"/>
  <c r="O98" i="2" s="1"/>
  <c r="M90" i="2"/>
  <c r="O90" i="2" s="1"/>
  <c r="M82" i="2"/>
  <c r="O82" i="2" s="1"/>
  <c r="M74" i="2"/>
  <c r="O74" i="2" s="1"/>
  <c r="M66" i="2"/>
  <c r="O66" i="2" s="1"/>
  <c r="M58" i="2"/>
  <c r="O58" i="2" s="1"/>
  <c r="M50" i="2"/>
  <c r="O50" i="2" s="1"/>
  <c r="M42" i="2"/>
  <c r="O42" i="2" s="1"/>
  <c r="M34" i="2"/>
  <c r="O34" i="2" s="1"/>
  <c r="M26" i="2"/>
  <c r="O26" i="2" s="1"/>
  <c r="M18" i="2"/>
  <c r="O18" i="2" s="1"/>
  <c r="M10" i="2"/>
  <c r="O10" i="2" s="1"/>
  <c r="M2" i="2"/>
  <c r="O2" i="2" s="1"/>
  <c r="M100" i="2"/>
  <c r="O100" i="2" s="1"/>
  <c r="M92" i="2"/>
  <c r="O92" i="2" s="1"/>
  <c r="M84" i="2"/>
  <c r="O84" i="2" s="1"/>
  <c r="M76" i="2"/>
  <c r="O76" i="2" s="1"/>
  <c r="M60" i="2"/>
  <c r="O60" i="2" s="1"/>
  <c r="M52" i="2"/>
  <c r="O52" i="2" s="1"/>
  <c r="M44" i="2"/>
  <c r="O44" i="2" s="1"/>
  <c r="M36" i="2"/>
  <c r="O36" i="2" s="1"/>
  <c r="M28" i="2"/>
  <c r="O28" i="2" s="1"/>
  <c r="M20" i="2"/>
  <c r="O20" i="2" s="1"/>
  <c r="M12" i="2"/>
  <c r="O12" i="2" s="1"/>
  <c r="M4" i="2"/>
  <c r="O4" i="2" s="1"/>
  <c r="M96" i="2"/>
  <c r="M88" i="2"/>
  <c r="O88" i="2" s="1"/>
  <c r="M80" i="2"/>
  <c r="O80" i="2" s="1"/>
  <c r="M72" i="2"/>
  <c r="O72" i="2" s="1"/>
  <c r="M64" i="2"/>
  <c r="O64" i="2" s="1"/>
  <c r="M56" i="2"/>
  <c r="O56" i="2" s="1"/>
  <c r="M48" i="2"/>
  <c r="O48" i="2" s="1"/>
  <c r="M40" i="2"/>
  <c r="O40" i="2" s="1"/>
  <c r="M32" i="2"/>
  <c r="O32" i="2" s="1"/>
  <c r="M24" i="2"/>
  <c r="O24" i="2" s="1"/>
  <c r="M16" i="2"/>
  <c r="O16" i="2" s="1"/>
  <c r="M8" i="2"/>
  <c r="O8" i="2" s="1"/>
  <c r="M99" i="2"/>
  <c r="O99" i="2" s="1"/>
  <c r="T99" i="2" s="1"/>
  <c r="M91" i="2"/>
  <c r="O91" i="2" s="1"/>
  <c r="T91" i="2" s="1"/>
  <c r="M83" i="2"/>
  <c r="O83" i="2" s="1"/>
  <c r="T83" i="2" s="1"/>
  <c r="M75" i="2"/>
  <c r="O75" i="2" s="1"/>
  <c r="T75" i="2" s="1"/>
  <c r="M67" i="2"/>
  <c r="O67" i="2" s="1"/>
  <c r="T67" i="2" s="1"/>
  <c r="M59" i="2"/>
  <c r="O59" i="2" s="1"/>
  <c r="T59" i="2" s="1"/>
  <c r="M51" i="2"/>
  <c r="O51" i="2" s="1"/>
  <c r="T51" i="2" s="1"/>
  <c r="M43" i="2"/>
  <c r="O43" i="2" s="1"/>
  <c r="T43" i="2" s="1"/>
  <c r="M35" i="2"/>
  <c r="O35" i="2" s="1"/>
  <c r="T35" i="2" s="1"/>
  <c r="M27" i="2"/>
  <c r="O27" i="2" s="1"/>
  <c r="T27" i="2" s="1"/>
  <c r="M19" i="2"/>
  <c r="O19" i="2" s="1"/>
  <c r="T19" i="2" s="1"/>
  <c r="M11" i="2"/>
  <c r="O11" i="2" s="1"/>
  <c r="T11" i="2" s="1"/>
  <c r="M3" i="2"/>
  <c r="O3" i="2" s="1"/>
  <c r="T3" i="2" s="1"/>
  <c r="M87" i="2"/>
  <c r="O87" i="2" s="1"/>
  <c r="M79" i="2"/>
  <c r="O79" i="2" s="1"/>
  <c r="M71" i="2"/>
  <c r="O71" i="2" s="1"/>
  <c r="M63" i="2"/>
  <c r="O63" i="2" s="1"/>
  <c r="M55" i="2"/>
  <c r="O55" i="2" s="1"/>
  <c r="M47" i="2"/>
  <c r="O47" i="2" s="1"/>
  <c r="M39" i="2"/>
  <c r="O39" i="2" s="1"/>
  <c r="M31" i="2"/>
  <c r="O31" i="2" s="1"/>
  <c r="M23" i="2"/>
  <c r="O23" i="2" s="1"/>
  <c r="M15" i="2"/>
  <c r="O15" i="2" s="1"/>
  <c r="M7" i="2"/>
  <c r="O7" i="2" s="1"/>
  <c r="M94" i="2"/>
  <c r="O94" i="2" s="1"/>
  <c r="M86" i="2"/>
  <c r="O86" i="2" s="1"/>
  <c r="T86" i="2" s="1"/>
  <c r="M78" i="2"/>
  <c r="O78" i="2" s="1"/>
  <c r="M70" i="2"/>
  <c r="O70" i="2" s="1"/>
  <c r="M62" i="2"/>
  <c r="O62" i="2" s="1"/>
  <c r="M54" i="2"/>
  <c r="O54" i="2" s="1"/>
  <c r="M46" i="2"/>
  <c r="O46" i="2" s="1"/>
  <c r="M38" i="2"/>
  <c r="O38" i="2" s="1"/>
  <c r="M30" i="2"/>
  <c r="O30" i="2" s="1"/>
  <c r="M22" i="2"/>
  <c r="O22" i="2" s="1"/>
  <c r="T22" i="2" s="1"/>
  <c r="M14" i="2"/>
  <c r="O14" i="2" s="1"/>
  <c r="M6" i="2"/>
  <c r="O6" i="2" s="1"/>
  <c r="M101" i="2"/>
  <c r="O101" i="2" s="1"/>
  <c r="M93" i="2"/>
  <c r="O93" i="2" s="1"/>
  <c r="M85" i="2"/>
  <c r="O85" i="2" s="1"/>
  <c r="M77" i="2"/>
  <c r="O77" i="2" s="1"/>
  <c r="M69" i="2"/>
  <c r="O69" i="2" s="1"/>
  <c r="M61" i="2"/>
  <c r="O61" i="2" s="1"/>
  <c r="M53" i="2"/>
  <c r="O53" i="2" s="1"/>
  <c r="M45" i="2"/>
  <c r="O45" i="2" s="1"/>
  <c r="M37" i="2"/>
  <c r="O37" i="2" s="1"/>
  <c r="M29" i="2"/>
  <c r="O29" i="2" s="1"/>
  <c r="M21" i="2"/>
  <c r="O21" i="2" s="1"/>
  <c r="M13" i="2"/>
  <c r="O13" i="2" s="1"/>
  <c r="M97" i="2"/>
  <c r="O97" i="2" s="1"/>
  <c r="M89" i="2"/>
  <c r="O89" i="2" s="1"/>
  <c r="M81" i="2"/>
  <c r="O81" i="2" s="1"/>
  <c r="M73" i="2"/>
  <c r="O73" i="2" s="1"/>
  <c r="M65" i="2"/>
  <c r="O65" i="2" s="1"/>
  <c r="M57" i="2"/>
  <c r="O57" i="2" s="1"/>
  <c r="M49" i="2"/>
  <c r="O49" i="2" s="1"/>
  <c r="M41" i="2"/>
  <c r="O41" i="2" s="1"/>
  <c r="M33" i="2"/>
  <c r="O33" i="2" s="1"/>
  <c r="T33" i="2" s="1"/>
  <c r="M25" i="2"/>
  <c r="O25" i="2" s="1"/>
  <c r="M17" i="2"/>
  <c r="O17" i="2" s="1"/>
  <c r="M9" i="2"/>
  <c r="O9" i="2" s="1"/>
  <c r="O96" i="2"/>
  <c r="M68" i="2"/>
  <c r="O68" i="2" s="1"/>
  <c r="M5" i="2"/>
  <c r="O5" i="2" s="1"/>
  <c r="T15" i="2" l="1"/>
  <c r="T84" i="2"/>
  <c r="T42" i="2"/>
  <c r="T79" i="2"/>
  <c r="T45" i="2"/>
  <c r="P95" i="2"/>
  <c r="T95" i="2"/>
  <c r="P25" i="2"/>
  <c r="T25" i="2"/>
  <c r="P89" i="2"/>
  <c r="T89" i="2"/>
  <c r="P61" i="2"/>
  <c r="T61" i="2"/>
  <c r="P55" i="2"/>
  <c r="T55" i="2"/>
  <c r="T56" i="2"/>
  <c r="T20" i="2"/>
  <c r="P92" i="2"/>
  <c r="T92" i="2"/>
  <c r="P50" i="2"/>
  <c r="T50" i="2"/>
  <c r="B2" i="19"/>
  <c r="E2" i="19" s="1"/>
  <c r="G14" i="3"/>
  <c r="G18" i="3" s="1"/>
  <c r="P81" i="2"/>
  <c r="T81" i="2"/>
  <c r="P47" i="2"/>
  <c r="T47" i="2"/>
  <c r="P30" i="2"/>
  <c r="T30" i="2"/>
  <c r="P64" i="2"/>
  <c r="T64" i="2"/>
  <c r="P100" i="2"/>
  <c r="T100" i="2"/>
  <c r="P58" i="2"/>
  <c r="T58" i="2"/>
  <c r="P41" i="2"/>
  <c r="T41" i="2"/>
  <c r="P13" i="2"/>
  <c r="T13" i="2"/>
  <c r="P77" i="2"/>
  <c r="T77" i="2"/>
  <c r="P38" i="2"/>
  <c r="T38" i="2"/>
  <c r="P7" i="2"/>
  <c r="T7" i="2"/>
  <c r="P71" i="2"/>
  <c r="T71" i="2"/>
  <c r="P8" i="2"/>
  <c r="T8" i="2"/>
  <c r="P72" i="2"/>
  <c r="T72" i="2"/>
  <c r="P36" i="2"/>
  <c r="T36" i="2"/>
  <c r="P2" i="2"/>
  <c r="T2" i="2"/>
  <c r="P66" i="2"/>
  <c r="T66" i="2"/>
  <c r="P78" i="2"/>
  <c r="T78" i="2"/>
  <c r="P44" i="2"/>
  <c r="T44" i="2"/>
  <c r="P14" i="2"/>
  <c r="T14" i="2"/>
  <c r="P12" i="2"/>
  <c r="T12" i="2"/>
  <c r="P69" i="2"/>
  <c r="T69" i="2"/>
  <c r="P94" i="2"/>
  <c r="T94" i="2"/>
  <c r="P63" i="2"/>
  <c r="T63" i="2"/>
  <c r="P28" i="2"/>
  <c r="T28" i="2"/>
  <c r="P5" i="2"/>
  <c r="T5" i="2"/>
  <c r="P49" i="2"/>
  <c r="T49" i="2"/>
  <c r="P21" i="2"/>
  <c r="T21" i="2"/>
  <c r="P85" i="2"/>
  <c r="T85" i="2"/>
  <c r="P46" i="2"/>
  <c r="T46" i="2"/>
  <c r="P16" i="2"/>
  <c r="T16" i="2"/>
  <c r="P80" i="2"/>
  <c r="T80" i="2"/>
  <c r="P10" i="2"/>
  <c r="T10" i="2"/>
  <c r="P74" i="2"/>
  <c r="T74" i="2"/>
  <c r="P68" i="2"/>
  <c r="T68" i="2"/>
  <c r="P57" i="2"/>
  <c r="T57" i="2"/>
  <c r="P29" i="2"/>
  <c r="T29" i="2"/>
  <c r="P93" i="2"/>
  <c r="T93" i="2"/>
  <c r="P54" i="2"/>
  <c r="T54" i="2"/>
  <c r="P23" i="2"/>
  <c r="T23" i="2"/>
  <c r="P87" i="2"/>
  <c r="T87" i="2"/>
  <c r="P24" i="2"/>
  <c r="T24" i="2"/>
  <c r="P88" i="2"/>
  <c r="T88" i="2"/>
  <c r="P52" i="2"/>
  <c r="T52" i="2"/>
  <c r="P18" i="2"/>
  <c r="T18" i="2"/>
  <c r="P82" i="2"/>
  <c r="T82" i="2"/>
  <c r="P37" i="2"/>
  <c r="T37" i="2"/>
  <c r="P17" i="2"/>
  <c r="T17" i="2"/>
  <c r="P53" i="2"/>
  <c r="T53" i="2"/>
  <c r="P48" i="2"/>
  <c r="T48" i="2"/>
  <c r="P97" i="2"/>
  <c r="T97" i="2"/>
  <c r="P96" i="2"/>
  <c r="T96" i="2"/>
  <c r="P65" i="2"/>
  <c r="T65" i="2"/>
  <c r="P101" i="2"/>
  <c r="T101" i="2"/>
  <c r="P62" i="2"/>
  <c r="T62" i="2"/>
  <c r="P31" i="2"/>
  <c r="T31" i="2"/>
  <c r="P32" i="2"/>
  <c r="T32" i="2"/>
  <c r="P60" i="2"/>
  <c r="T60" i="2"/>
  <c r="P26" i="2"/>
  <c r="T26" i="2"/>
  <c r="P90" i="2"/>
  <c r="T90" i="2"/>
  <c r="P9" i="2"/>
  <c r="T9" i="2"/>
  <c r="P73" i="2"/>
  <c r="T73" i="2"/>
  <c r="P6" i="2"/>
  <c r="T6" i="2"/>
  <c r="P70" i="2"/>
  <c r="T70" i="2"/>
  <c r="P39" i="2"/>
  <c r="T39" i="2"/>
  <c r="P40" i="2"/>
  <c r="T40" i="2"/>
  <c r="P4" i="2"/>
  <c r="T4" i="2"/>
  <c r="P76" i="2"/>
  <c r="T76" i="2"/>
  <c r="P34" i="2"/>
  <c r="T34" i="2"/>
  <c r="P98" i="2"/>
  <c r="T98" i="2"/>
  <c r="S43" i="2"/>
  <c r="B43" i="19"/>
  <c r="E43" i="19" s="1"/>
  <c r="S63" i="2"/>
  <c r="B63" i="19"/>
  <c r="E63" i="19" s="1"/>
  <c r="S42" i="2"/>
  <c r="B42" i="19"/>
  <c r="E42" i="19" s="1"/>
  <c r="S20" i="2"/>
  <c r="B20" i="19"/>
  <c r="E20" i="19" s="1"/>
  <c r="S19" i="2"/>
  <c r="B19" i="19"/>
  <c r="E19" i="19" s="1"/>
  <c r="S36" i="2"/>
  <c r="B36" i="19"/>
  <c r="E36" i="19" s="1"/>
  <c r="S73" i="2"/>
  <c r="B73" i="19"/>
  <c r="E73" i="19" s="1"/>
  <c r="S8" i="2"/>
  <c r="B8" i="19"/>
  <c r="E8" i="19" s="1"/>
  <c r="S10" i="2"/>
  <c r="B10" i="19"/>
  <c r="E10" i="19" s="1"/>
  <c r="S74" i="2"/>
  <c r="B74" i="19"/>
  <c r="E74" i="19" s="1"/>
  <c r="S35" i="2"/>
  <c r="B35" i="19"/>
  <c r="E35" i="19" s="1"/>
  <c r="S99" i="2"/>
  <c r="B99" i="19"/>
  <c r="E99" i="19" s="1"/>
  <c r="S52" i="2"/>
  <c r="B52" i="19"/>
  <c r="E52" i="19" s="1"/>
  <c r="S25" i="2"/>
  <c r="B25" i="19"/>
  <c r="E25" i="19" s="1"/>
  <c r="S89" i="2"/>
  <c r="B89" i="19"/>
  <c r="E89" i="19" s="1"/>
  <c r="S55" i="2"/>
  <c r="B55" i="19"/>
  <c r="E55" i="19" s="1"/>
  <c r="S24" i="2"/>
  <c r="B24" i="19"/>
  <c r="E24" i="19" s="1"/>
  <c r="S88" i="2"/>
  <c r="B88" i="19"/>
  <c r="E88" i="19" s="1"/>
  <c r="S54" i="2"/>
  <c r="B54" i="19"/>
  <c r="E54" i="19" s="1"/>
  <c r="S13" i="2"/>
  <c r="B13" i="19"/>
  <c r="E13" i="19" s="1"/>
  <c r="S77" i="2"/>
  <c r="B77" i="19"/>
  <c r="E77" i="19" s="1"/>
  <c r="S32" i="2"/>
  <c r="B32" i="19"/>
  <c r="E32" i="19" s="1"/>
  <c r="S96" i="2"/>
  <c r="B96" i="19"/>
  <c r="E96" i="19" s="1"/>
  <c r="S62" i="2"/>
  <c r="B62" i="19"/>
  <c r="E62" i="19" s="1"/>
  <c r="S21" i="2"/>
  <c r="B21" i="19"/>
  <c r="E21" i="19" s="1"/>
  <c r="S85" i="2"/>
  <c r="B85" i="19"/>
  <c r="E85" i="19" s="1"/>
  <c r="S26" i="2"/>
  <c r="B26" i="19"/>
  <c r="E26" i="19" s="1"/>
  <c r="S4" i="2"/>
  <c r="B4" i="19"/>
  <c r="E4" i="19" s="1"/>
  <c r="S41" i="2"/>
  <c r="B41" i="19"/>
  <c r="E41" i="19" s="1"/>
  <c r="S71" i="2"/>
  <c r="B71" i="19"/>
  <c r="E71" i="19" s="1"/>
  <c r="S40" i="2"/>
  <c r="B40" i="19"/>
  <c r="E40" i="19" s="1"/>
  <c r="S6" i="2"/>
  <c r="B6" i="19"/>
  <c r="E6" i="19" s="1"/>
  <c r="S70" i="2"/>
  <c r="B70" i="19"/>
  <c r="E70" i="19" s="1"/>
  <c r="S29" i="2"/>
  <c r="B29" i="19"/>
  <c r="E29" i="19" s="1"/>
  <c r="S93" i="2"/>
  <c r="B93" i="19"/>
  <c r="E93" i="19" s="1"/>
  <c r="S18" i="2"/>
  <c r="B18" i="19"/>
  <c r="E18" i="19" s="1"/>
  <c r="S60" i="2"/>
  <c r="B60" i="19"/>
  <c r="E60" i="19" s="1"/>
  <c r="S90" i="2"/>
  <c r="B90" i="19"/>
  <c r="E90" i="19" s="1"/>
  <c r="S51" i="2"/>
  <c r="B51" i="19"/>
  <c r="E51" i="19" s="1"/>
  <c r="S68" i="2"/>
  <c r="B68" i="19"/>
  <c r="E68" i="19" s="1"/>
  <c r="S7" i="2"/>
  <c r="B7" i="19"/>
  <c r="E7" i="19" s="1"/>
  <c r="S34" i="2"/>
  <c r="B34" i="19"/>
  <c r="E34" i="19" s="1"/>
  <c r="S98" i="2"/>
  <c r="B98" i="19"/>
  <c r="E98" i="19" s="1"/>
  <c r="S59" i="2"/>
  <c r="B59" i="19"/>
  <c r="E59" i="19" s="1"/>
  <c r="S12" i="2"/>
  <c r="B12" i="19"/>
  <c r="E12" i="19" s="1"/>
  <c r="S76" i="2"/>
  <c r="B76" i="19"/>
  <c r="E76" i="19" s="1"/>
  <c r="S49" i="2"/>
  <c r="B49" i="19"/>
  <c r="E49" i="19" s="1"/>
  <c r="S15" i="2"/>
  <c r="B15" i="19"/>
  <c r="E15" i="19" s="1"/>
  <c r="S79" i="2"/>
  <c r="B79" i="19"/>
  <c r="E79" i="19" s="1"/>
  <c r="S48" i="2"/>
  <c r="B48" i="19"/>
  <c r="E48" i="19" s="1"/>
  <c r="S14" i="2"/>
  <c r="B14" i="19"/>
  <c r="E14" i="19" s="1"/>
  <c r="S78" i="2"/>
  <c r="B78" i="19"/>
  <c r="E78" i="19" s="1"/>
  <c r="S37" i="2"/>
  <c r="B37" i="19"/>
  <c r="E37" i="19" s="1"/>
  <c r="S101" i="2"/>
  <c r="B101" i="19"/>
  <c r="E101" i="19" s="1"/>
  <c r="S87" i="2"/>
  <c r="B87" i="19"/>
  <c r="E87" i="19" s="1"/>
  <c r="S45" i="2"/>
  <c r="B45" i="19"/>
  <c r="E45" i="19" s="1"/>
  <c r="S82" i="2"/>
  <c r="B82" i="19"/>
  <c r="E82" i="19" s="1"/>
  <c r="S97" i="2"/>
  <c r="B97" i="19"/>
  <c r="E97" i="19" s="1"/>
  <c r="S3" i="2"/>
  <c r="B3" i="19"/>
  <c r="E3" i="19" s="1"/>
  <c r="S84" i="2"/>
  <c r="B84" i="19"/>
  <c r="E84" i="19" s="1"/>
  <c r="S57" i="2"/>
  <c r="B57" i="19"/>
  <c r="E57" i="19" s="1"/>
  <c r="S23" i="2"/>
  <c r="B23" i="19"/>
  <c r="E23" i="19" s="1"/>
  <c r="S56" i="2"/>
  <c r="B56" i="19"/>
  <c r="E56" i="19" s="1"/>
  <c r="S22" i="2"/>
  <c r="B22" i="19"/>
  <c r="E22" i="19" s="1"/>
  <c r="S86" i="2"/>
  <c r="B86" i="19"/>
  <c r="E86" i="19" s="1"/>
  <c r="S50" i="2"/>
  <c r="B50" i="19"/>
  <c r="E50" i="19" s="1"/>
  <c r="S11" i="2"/>
  <c r="B11" i="19"/>
  <c r="E11" i="19" s="1"/>
  <c r="S75" i="2"/>
  <c r="B75" i="19"/>
  <c r="E75" i="19" s="1"/>
  <c r="S28" i="2"/>
  <c r="B28" i="19"/>
  <c r="E28" i="19" s="1"/>
  <c r="S100" i="2"/>
  <c r="B100" i="19"/>
  <c r="E100" i="19" s="1"/>
  <c r="S65" i="2"/>
  <c r="B65" i="19"/>
  <c r="E65" i="19" s="1"/>
  <c r="S31" i="2"/>
  <c r="B31" i="19"/>
  <c r="E31" i="19" s="1"/>
  <c r="S95" i="2"/>
  <c r="B95" i="19"/>
  <c r="E95" i="19" s="1"/>
  <c r="S64" i="2"/>
  <c r="B64" i="19"/>
  <c r="E64" i="19" s="1"/>
  <c r="S30" i="2"/>
  <c r="B30" i="19"/>
  <c r="E30" i="19" s="1"/>
  <c r="S94" i="2"/>
  <c r="B94" i="19"/>
  <c r="E94" i="19" s="1"/>
  <c r="S53" i="2"/>
  <c r="B53" i="19"/>
  <c r="E53" i="19" s="1"/>
  <c r="S61" i="2"/>
  <c r="B61" i="19"/>
  <c r="E61" i="19" s="1"/>
  <c r="S92" i="2"/>
  <c r="B92" i="19"/>
  <c r="E92" i="19" s="1"/>
  <c r="S33" i="2"/>
  <c r="B33" i="19"/>
  <c r="E33" i="19" s="1"/>
  <c r="S67" i="2"/>
  <c r="B67" i="19"/>
  <c r="E67" i="19" s="1"/>
  <c r="S58" i="2"/>
  <c r="B58" i="19"/>
  <c r="E58" i="19" s="1"/>
  <c r="S83" i="2"/>
  <c r="B83" i="19"/>
  <c r="E83" i="19" s="1"/>
  <c r="S9" i="2"/>
  <c r="B9" i="19"/>
  <c r="E9" i="19" s="1"/>
  <c r="S39" i="2"/>
  <c r="B39" i="19"/>
  <c r="E39" i="19" s="1"/>
  <c r="S72" i="2"/>
  <c r="B72" i="19"/>
  <c r="E72" i="19" s="1"/>
  <c r="S38" i="2"/>
  <c r="B38" i="19"/>
  <c r="E38" i="19" s="1"/>
  <c r="S66" i="2"/>
  <c r="B66" i="19"/>
  <c r="E66" i="19" s="1"/>
  <c r="S27" i="2"/>
  <c r="B27" i="19"/>
  <c r="E27" i="19" s="1"/>
  <c r="S91" i="2"/>
  <c r="B91" i="19"/>
  <c r="E91" i="19" s="1"/>
  <c r="S44" i="2"/>
  <c r="B44" i="19"/>
  <c r="E44" i="19" s="1"/>
  <c r="S17" i="2"/>
  <c r="B17" i="19"/>
  <c r="E17" i="19" s="1"/>
  <c r="S81" i="2"/>
  <c r="B81" i="19"/>
  <c r="E81" i="19" s="1"/>
  <c r="S47" i="2"/>
  <c r="B47" i="19"/>
  <c r="E47" i="19" s="1"/>
  <c r="S16" i="2"/>
  <c r="B16" i="19"/>
  <c r="E16" i="19" s="1"/>
  <c r="S80" i="2"/>
  <c r="B80" i="19"/>
  <c r="E80" i="19" s="1"/>
  <c r="S46" i="2"/>
  <c r="B46" i="19"/>
  <c r="E46" i="19" s="1"/>
  <c r="S5" i="2"/>
  <c r="B5" i="19"/>
  <c r="E5" i="19" s="1"/>
  <c r="S69" i="2"/>
  <c r="B69" i="19"/>
  <c r="E69" i="19" s="1"/>
  <c r="S2" i="2"/>
  <c r="P45" i="2"/>
  <c r="P11" i="2"/>
  <c r="P75" i="2"/>
  <c r="P84" i="2"/>
  <c r="P42" i="2"/>
  <c r="P27" i="2"/>
  <c r="P83" i="2"/>
  <c r="P22" i="2"/>
  <c r="P20" i="2"/>
  <c r="P99" i="2"/>
  <c r="P15" i="2"/>
  <c r="P79" i="2"/>
  <c r="P51" i="2"/>
  <c r="P19" i="2"/>
  <c r="P91" i="2"/>
  <c r="P33" i="2"/>
  <c r="P35" i="2"/>
  <c r="P43" i="2"/>
  <c r="P59" i="2"/>
  <c r="P86" i="2"/>
  <c r="P56" i="2"/>
  <c r="P3" i="2"/>
  <c r="P67" i="2"/>
  <c r="G16" i="3"/>
  <c r="G15" i="3" l="1"/>
  <c r="K9" i="19"/>
  <c r="K12" i="1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3CB544-1DE7-B844-8A2A-570354FCB911}" keepAlive="1" name="Query - Alice_Master_Analysis_View" description="Connection to the 'Alice_Master_Analysis_View' query in the workbook." type="5" refreshedVersion="8" background="1" saveData="1">
    <dbPr connection="Provider=Microsoft.Mashup.OleDb.1;Data Source=$Workbook$;Location=Alice_Master_Analysis_View;Extended Properties=&quot;&quot;" command="SELECT * FROM [Alice_Master_Analysis_View]"/>
  </connection>
</connections>
</file>

<file path=xl/sharedStrings.xml><?xml version="1.0" encoding="utf-8"?>
<sst xmlns="http://schemas.openxmlformats.org/spreadsheetml/2006/main" count="507" uniqueCount="276">
  <si>
    <t>flight_id</t>
  </si>
  <si>
    <t>FL-00001</t>
  </si>
  <si>
    <t>v2.2</t>
  </si>
  <si>
    <t>FL-00002</t>
  </si>
  <si>
    <t>FL-00003</t>
  </si>
  <si>
    <t>v2.1</t>
  </si>
  <si>
    <t>FL-00004</t>
  </si>
  <si>
    <t>FL-00005</t>
  </si>
  <si>
    <t>FL-00006</t>
  </si>
  <si>
    <t>FL-00007</t>
  </si>
  <si>
    <t>FL-00008</t>
  </si>
  <si>
    <t>FL-00009</t>
  </si>
  <si>
    <t>FL-00010</t>
  </si>
  <si>
    <t>FL-00011</t>
  </si>
  <si>
    <t>FL-00012</t>
  </si>
  <si>
    <t>FL-00013</t>
  </si>
  <si>
    <t>FL-00014</t>
  </si>
  <si>
    <t>FL-00015</t>
  </si>
  <si>
    <t>FL-00016</t>
  </si>
  <si>
    <t>FL-00017</t>
  </si>
  <si>
    <t>FL-00018</t>
  </si>
  <si>
    <t>FL-00019</t>
  </si>
  <si>
    <t>FL-00020</t>
  </si>
  <si>
    <t>FL-00021</t>
  </si>
  <si>
    <t>FL-00022</t>
  </si>
  <si>
    <t>FL-00023</t>
  </si>
  <si>
    <t>FL-00024</t>
  </si>
  <si>
    <t>FL-00025</t>
  </si>
  <si>
    <t>FL-00026</t>
  </si>
  <si>
    <t>FL-00027</t>
  </si>
  <si>
    <t>FL-00028</t>
  </si>
  <si>
    <t>FL-00029</t>
  </si>
  <si>
    <t>FL-00030</t>
  </si>
  <si>
    <t>FL-00031</t>
  </si>
  <si>
    <t>FL-00032</t>
  </si>
  <si>
    <t>FL-00033</t>
  </si>
  <si>
    <t>FL-00034</t>
  </si>
  <si>
    <t>FL-00035</t>
  </si>
  <si>
    <t>FL-00036</t>
  </si>
  <si>
    <t>FL-00037</t>
  </si>
  <si>
    <t>FL-00038</t>
  </si>
  <si>
    <t>FL-00039</t>
  </si>
  <si>
    <t>FL-00040</t>
  </si>
  <si>
    <t>FL-00041</t>
  </si>
  <si>
    <t>FL-00042</t>
  </si>
  <si>
    <t>FL-00043</t>
  </si>
  <si>
    <t>FL-00044</t>
  </si>
  <si>
    <t>FL-00045</t>
  </si>
  <si>
    <t>FL-00046</t>
  </si>
  <si>
    <t>FL-00047</t>
  </si>
  <si>
    <t>FL-00048</t>
  </si>
  <si>
    <t>FL-00049</t>
  </si>
  <si>
    <t>FL-00050</t>
  </si>
  <si>
    <t>FL-00051</t>
  </si>
  <si>
    <t>FL-00052</t>
  </si>
  <si>
    <t>FL-00053</t>
  </si>
  <si>
    <t>FL-00054</t>
  </si>
  <si>
    <t>FL-00055</t>
  </si>
  <si>
    <t>FL-00056</t>
  </si>
  <si>
    <t>FL-00057</t>
  </si>
  <si>
    <t>FL-00058</t>
  </si>
  <si>
    <t>FL-00059</t>
  </si>
  <si>
    <t>FL-00060</t>
  </si>
  <si>
    <t>FL-00061</t>
  </si>
  <si>
    <t>FL-00062</t>
  </si>
  <si>
    <t>FL-00063</t>
  </si>
  <si>
    <t>FL-00064</t>
  </si>
  <si>
    <t>FL-00065</t>
  </si>
  <si>
    <t>FL-00066</t>
  </si>
  <si>
    <t>FL-00067</t>
  </si>
  <si>
    <t>FL-00068</t>
  </si>
  <si>
    <t>FL-00069</t>
  </si>
  <si>
    <t>FL-00070</t>
  </si>
  <si>
    <t>FL-00071</t>
  </si>
  <si>
    <t>FL-00072</t>
  </si>
  <si>
    <t>FL-00073</t>
  </si>
  <si>
    <t>FL-00074</t>
  </si>
  <si>
    <t>FL-00075</t>
  </si>
  <si>
    <t>FL-00076</t>
  </si>
  <si>
    <t>FL-00077</t>
  </si>
  <si>
    <t>FL-00078</t>
  </si>
  <si>
    <t>FL-00079</t>
  </si>
  <si>
    <t>FL-00080</t>
  </si>
  <si>
    <t>FL-00081</t>
  </si>
  <si>
    <t>FL-00082</t>
  </si>
  <si>
    <t>FL-00083</t>
  </si>
  <si>
    <t>FL-00084</t>
  </si>
  <si>
    <t>FL-00085</t>
  </si>
  <si>
    <t>FL-00086</t>
  </si>
  <si>
    <t>FL-00087</t>
  </si>
  <si>
    <t>FL-00088</t>
  </si>
  <si>
    <t>FL-00089</t>
  </si>
  <si>
    <t>FL-00090</t>
  </si>
  <si>
    <t>FL-00091</t>
  </si>
  <si>
    <t>FL-00092</t>
  </si>
  <si>
    <t>FL-00093</t>
  </si>
  <si>
    <t>FL-00094</t>
  </si>
  <si>
    <t>FL-00095</t>
  </si>
  <si>
    <t>FL-00096</t>
  </si>
  <si>
    <t>FL-00097</t>
  </si>
  <si>
    <t>FL-00098</t>
  </si>
  <si>
    <t>FL-00099</t>
  </si>
  <si>
    <t>FL-00100</t>
  </si>
  <si>
    <t>Start_SoC</t>
  </si>
  <si>
    <t>End_SoC</t>
  </si>
  <si>
    <t>Payload(lbs)</t>
  </si>
  <si>
    <t>Revenue</t>
  </si>
  <si>
    <t>Battery_Capacity</t>
  </si>
  <si>
    <t>kWh</t>
  </si>
  <si>
    <t>Max_Payload</t>
  </si>
  <si>
    <t>lbs</t>
  </si>
  <si>
    <t>Electricity_Rate</t>
  </si>
  <si>
    <t>$/kWh</t>
  </si>
  <si>
    <t>Battery_Replace_Cost</t>
  </si>
  <si>
    <t>$</t>
  </si>
  <si>
    <t>Base_Cycle_Life</t>
  </si>
  <si>
    <t>Cycles</t>
  </si>
  <si>
    <t>Expected number of full discharge cycles before EoL.</t>
  </si>
  <si>
    <t>Stress_Penalty_Factor</t>
  </si>
  <si>
    <t>%</t>
  </si>
  <si>
    <t>Extra wear penalty when flying at Max Payload.</t>
  </si>
  <si>
    <t>Ground_Labor_Fee</t>
  </si>
  <si>
    <t>$/Sortie</t>
  </si>
  <si>
    <t>Pilot, loading crew, and landing fees per mission.</t>
  </si>
  <si>
    <t>$/lb</t>
  </si>
  <si>
    <t>Max. useful payload</t>
  </si>
  <si>
    <t>Commercial charging rate (Standard)</t>
  </si>
  <si>
    <t>Avg_Burn_rate_per_min</t>
  </si>
  <si>
    <t>Projected_SoC_60min</t>
  </si>
  <si>
    <t>Temp</t>
  </si>
  <si>
    <t>Firmwave</t>
  </si>
  <si>
    <t>Is_Alert</t>
  </si>
  <si>
    <t>Is_60min_Safe</t>
  </si>
  <si>
    <t>True</t>
  </si>
  <si>
    <t>Alice; official battery energy density.</t>
  </si>
  <si>
    <t>Est. cost for a full battery pack replacement.</t>
  </si>
  <si>
    <t>Target freight rate for regional delivery.</t>
  </si>
  <si>
    <t>Charging Loss</t>
  </si>
  <si>
    <t>Depreciation_OpEx</t>
  </si>
  <si>
    <t>500-600</t>
  </si>
  <si>
    <t>600-700</t>
  </si>
  <si>
    <t>700-800</t>
  </si>
  <si>
    <t>800-900</t>
  </si>
  <si>
    <t>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</si>
  <si>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</si>
  <si>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</si>
  <si>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</si>
  <si>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</si>
  <si>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</si>
  <si>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</si>
  <si>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</si>
  <si>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</si>
  <si>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</si>
  <si>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</si>
  <si>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</si>
  <si>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</si>
  <si>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</si>
  <si>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2300-2400</t>
  </si>
  <si>
    <t>2400-2500</t>
  </si>
  <si>
    <t>-5-0</t>
  </si>
  <si>
    <t>0-5</t>
  </si>
  <si>
    <t>5-10</t>
  </si>
  <si>
    <t>10-15</t>
  </si>
  <si>
    <t>15-20</t>
  </si>
  <si>
    <t>20-25</t>
  </si>
  <si>
    <t>25-30</t>
  </si>
  <si>
    <t>30-35</t>
  </si>
  <si>
    <t>35-40</t>
  </si>
  <si>
    <t>40-45</t>
  </si>
  <si>
    <t>Net_Profit_75</t>
  </si>
  <si>
    <t>Total_OpEx_75</t>
  </si>
  <si>
    <t>Sortie_75_energy_OpEx</t>
  </si>
  <si>
    <t>Sortie_60_energy_OpEx</t>
  </si>
  <si>
    <t>Net_Profit_60</t>
  </si>
  <si>
    <t>Average of Net_Profit_75</t>
  </si>
  <si>
    <t>Average of Net_Profit_60</t>
  </si>
  <si>
    <t>Average of Avg_Burn_rate_per_min</t>
  </si>
  <si>
    <t>%_Profit_Loss_for_Safety</t>
  </si>
  <si>
    <t>Payload Mass</t>
  </si>
  <si>
    <t>Ambient Temp</t>
  </si>
  <si>
    <t>°C</t>
  </si>
  <si>
    <t>Planned Duration</t>
  </si>
  <si>
    <t>Minutes</t>
  </si>
  <si>
    <t>Intercept</t>
  </si>
  <si>
    <t>m1 (Payload Coeff)</t>
  </si>
  <si>
    <t>m2 (Temp Coeff)</t>
  </si>
  <si>
    <t>Predicted Burn Rate</t>
  </si>
  <si>
    <t>% SoC / min</t>
  </si>
  <si>
    <t>Projected Landing SoC</t>
  </si>
  <si>
    <t>Safety Status</t>
  </si>
  <si>
    <t>Gross Income</t>
  </si>
  <si>
    <t>Estimated OpEx</t>
  </si>
  <si>
    <t>Total Cost</t>
  </si>
  <si>
    <t>Net Profit</t>
  </si>
  <si>
    <t>Bottom Line</t>
  </si>
  <si>
    <t>EBITDA Margin</t>
  </si>
  <si>
    <t>Agreed Rate</t>
  </si>
  <si>
    <t>/lb,Sensitivity</t>
  </si>
  <si>
    <t>/C, Sensitivity</t>
  </si>
  <si>
    <t>Unit Economics</t>
  </si>
  <si>
    <t>Decision Output</t>
  </si>
  <si>
    <t xml:space="preserve">ML Logic </t>
  </si>
  <si>
    <t>Energy Cost</t>
  </si>
  <si>
    <t xml:space="preserve">Depreciation </t>
  </si>
  <si>
    <t>Sortie</t>
  </si>
  <si>
    <t>Target (20%)</t>
  </si>
  <si>
    <t>Total Fleet Net Profit</t>
  </si>
  <si>
    <t>Avg. EBITDA Margin %</t>
  </si>
  <si>
    <t>% of Profitable Sorties</t>
  </si>
  <si>
    <t>Total Energy Consumed</t>
  </si>
  <si>
    <t>Total Sortie</t>
  </si>
  <si>
    <t>Total Sorties Net Profit</t>
  </si>
  <si>
    <t>Yield_Rate</t>
  </si>
  <si>
    <t>Safe to fly under 60 min</t>
  </si>
  <si>
    <t>Margin_%_75</t>
  </si>
  <si>
    <t>Margin_%_60</t>
  </si>
  <si>
    <t>Bull Case</t>
  </si>
  <si>
    <t>Bear Case</t>
  </si>
  <si>
    <t>Base</t>
  </si>
  <si>
    <t>Scenario Summary</t>
  </si>
  <si>
    <t>Changing Cells:</t>
  </si>
  <si>
    <t>Current Values:</t>
  </si>
  <si>
    <t>Result Cells:</t>
  </si>
  <si>
    <t>Electricity Rate ($/kWh</t>
  </si>
  <si>
    <t>Cargo Yield Rate ($/lb)</t>
  </si>
  <si>
    <t>Notes:  Alice's profitability is highly leveraged on cargo yield.</t>
  </si>
  <si>
    <t>Mission ROI Calculator</t>
  </si>
  <si>
    <t>FAA</t>
  </si>
  <si>
    <t xml:space="preserve">
Modified by Xinxuan Gan on 4/2/2026</t>
  </si>
  <si>
    <t>Flight_ID</t>
  </si>
  <si>
    <t>Energy_kWh</t>
  </si>
  <si>
    <t>Flight Decision</t>
  </si>
  <si>
    <t>Opt.Profit</t>
  </si>
  <si>
    <t>Opt.Energy</t>
  </si>
  <si>
    <t>Total Optimized Profit</t>
  </si>
  <si>
    <t>Total Energy Consumption</t>
  </si>
  <si>
    <t>Total Fleets</t>
  </si>
  <si>
    <t>STRATEGIC FLEET OPTIMIZATION</t>
  </si>
  <si>
    <t>Energy Cap: 8,000 kWh (Simulated Grid Capacity Limit)</t>
  </si>
  <si>
    <t>Objective: Maximize Fleet EBITDA by prioritizing missions with the highest Profit-per-kWh efficiency.</t>
  </si>
  <si>
    <t>Utilization</t>
  </si>
  <si>
    <t>Profit per kWh</t>
  </si>
  <si>
    <t>Scenario: Operational Decision Support under Energy Constraints</t>
  </si>
  <si>
    <t>Project Overview</t>
  </si>
  <si>
    <t>Assumptions - Inputs (LIVE)</t>
  </si>
  <si>
    <t>Average of Margin_%_60</t>
  </si>
  <si>
    <t>&lt;-5 or (blank)</t>
  </si>
  <si>
    <t>Thermal Sensitivity Analysis</t>
  </si>
  <si>
    <t>Air Temp</t>
  </si>
  <si>
    <t>Payload</t>
  </si>
  <si>
    <t>Version</t>
  </si>
  <si>
    <t>In the previous project, the initial Python Stress Test proved that a 75-minute mission profile leads to a 100% safety breach. This Excel model investigates the Commercial Viability of the 60-minute "Safe Zone" to determine if Eviation Alice can remain profitable and HOW while staying 100% FAA-compliant.</t>
  </si>
  <si>
    <t>Insights</t>
  </si>
  <si>
    <t>Average of Depreciation_OpEx</t>
  </si>
  <si>
    <t>Performance - Outputs (LIVE)</t>
  </si>
  <si>
    <t>Average of Sortie_60_energy_OpEx</t>
  </si>
  <si>
    <t>Payload vs Margin</t>
  </si>
  <si>
    <t>Safety vs Profit Gap</t>
  </si>
  <si>
    <t>Firmware ROI</t>
  </si>
  <si>
    <t>Energy ROI</t>
  </si>
  <si>
    <t>Profit_per_kWh</t>
  </si>
  <si>
    <t>Payload vs Profit per kWh</t>
  </si>
  <si>
    <t>Average of Profit_per_kWh</t>
  </si>
  <si>
    <t>Tools</t>
  </si>
  <si>
    <r>
      <t>1. Mission_Unit_ROI_calculator:</t>
    </r>
    <r>
      <rPr>
        <sz val="12"/>
        <color theme="1"/>
        <rFont val="Aptos Narrow"/>
        <scheme val="minor"/>
      </rPr>
      <t xml:space="preserve"> An interactive interface that integrates ML coefficients to predicts safety clearance and recommended pricing based on payload and temperature.</t>
    </r>
  </si>
  <si>
    <r>
      <t xml:space="preserve">2.Fleet_Optimization_Solver: </t>
    </r>
    <r>
      <rPr>
        <sz val="12"/>
        <color theme="1"/>
        <rFont val="Aptos Narrow"/>
        <scheme val="minor"/>
      </rPr>
      <t>utilizes Linear Programming to select the most profitable mix of missions when total hub energy capacity is restricted (e.g., a 2,500 kWh daily cap)</t>
    </r>
  </si>
  <si>
    <r>
      <t xml:space="preserve">3. Sensitiviy Scenario: </t>
    </r>
    <r>
      <rPr>
        <sz val="12"/>
        <color theme="1"/>
        <rFont val="Aptos Narrow"/>
        <scheme val="minor"/>
      </rPr>
      <t>stress-test fleet resilience against macroeconomic volatility, such as a spike in electricity costs or a collapse in market cargo rates.</t>
    </r>
  </si>
  <si>
    <t>Cost Inflate</t>
  </si>
  <si>
    <t>Per_Sortie_Gain</t>
  </si>
  <si>
    <t>Profit_Boost_%</t>
  </si>
  <si>
    <t>Annual Impact</t>
  </si>
  <si>
    <t>Thermal Cost Penalty</t>
  </si>
  <si>
    <r>
      <rPr>
        <b/>
        <sz val="12"/>
        <color theme="1"/>
        <rFont val="Aptos Narrow"/>
        <scheme val="minor"/>
      </rPr>
      <t>1. Missions with a payload below 1,000 lbs</t>
    </r>
    <r>
      <rPr>
        <sz val="12"/>
        <color theme="1"/>
        <rFont val="Aptos Narrow"/>
        <scheme val="minor"/>
      </rPr>
      <t xml:space="preserve"> are not profitable. A 1,000 lbs min. payload is required to achieve commercial breakeven; missions below this floor result in a -37% EBITDA margin due to high operational drag.</t>
    </r>
  </si>
  <si>
    <r>
      <t>2. Ambient temperatures above 40°C trigger a 7% increase in battery depreciation and energy drain,</t>
    </r>
    <r>
      <rPr>
        <sz val="12"/>
        <color theme="1"/>
        <rFont val="Aptos Narrow"/>
        <scheme val="minor"/>
      </rPr>
      <t xml:space="preserve"> necessitating a seasonal "Thermal Surcharge" to protect the bottom line.</t>
    </r>
  </si>
  <si>
    <r>
      <rPr>
        <sz val="12"/>
        <color theme="1"/>
        <rFont val="Aptos Narrow"/>
        <scheme val="minor"/>
      </rPr>
      <t>3. A/B testing confirms that</t>
    </r>
    <r>
      <rPr>
        <b/>
        <sz val="12"/>
        <color theme="1"/>
        <rFont val="Aptos Narrow"/>
        <scheme val="minor"/>
      </rPr>
      <t xml:space="preserve"> Firmware v2.2 correlates with a $453 average profit increase per sortie, translating to a $6.6M projected annual profit lift for the current fleet.</t>
    </r>
  </si>
  <si>
    <t>4. High-density missions yield a $238/kWh net return, profitability is maximized through energy yield optimization rather than total sortie volume.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</si>
</sst>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70" formatCode="&quot;$&quot;#,##0.00"/>
    <numFmt numFmtId="173" formatCode="_(&quot;$&quot;* #,##0_);_(&quot;$&quot;* \(#,##0\);_(&quot;$&quot;* &quot;-&quot;??_);_(@_)"/>
  </numFmts>
  <fonts count="4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rgb="FF2B2D31"/>
      <name val="Arial"/>
      <family val="2"/>
    </font>
    <font>
      <sz val="14"/>
      <color rgb="FF2B2D31"/>
      <name val="Arial"/>
      <family val="2"/>
    </font>
    <font>
      <sz val="12"/>
      <color theme="1"/>
      <name val="Arial"/>
      <family val="2"/>
    </font>
    <font>
      <sz val="12"/>
      <color rgb="FF2B2D31"/>
      <name val="Arial"/>
      <family val="2"/>
    </font>
    <font>
      <sz val="8"/>
      <name val="Aptos Narrow"/>
      <family val="2"/>
      <scheme val="minor"/>
    </font>
    <font>
      <sz val="11"/>
      <color rgb="FF2B2D31"/>
      <name val="Arial"/>
      <family val="2"/>
    </font>
    <font>
      <sz val="14"/>
      <color theme="1"/>
      <name val="Aptos Narrow"/>
      <family val="2"/>
      <scheme val="minor"/>
    </font>
    <font>
      <b/>
      <sz val="16"/>
      <color rgb="FF2B2D31"/>
      <name val="Arial"/>
      <family val="2"/>
    </font>
    <font>
      <sz val="16"/>
      <color rgb="FF2B2D31"/>
      <name val="Arial"/>
      <family val="2"/>
    </font>
    <font>
      <sz val="16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indexed="9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2"/>
      <color indexed="18"/>
      <name val="Aptos Narrow"/>
      <family val="2"/>
      <scheme val="minor"/>
    </font>
    <font>
      <sz val="11"/>
      <color indexed="9"/>
      <name val="Aptos Narrow"/>
      <family val="2"/>
      <scheme val="minor"/>
    </font>
    <font>
      <sz val="8"/>
      <color theme="1"/>
      <name val="Aptos Narrow"/>
      <scheme val="minor"/>
    </font>
    <font>
      <b/>
      <sz val="16"/>
      <color theme="3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2B2D31"/>
      <name val="Aptos Narrow"/>
      <scheme val="minor"/>
    </font>
    <font>
      <b/>
      <sz val="16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A7D00"/>
      <name val="Aptos Narrow"/>
      <scheme val="minor"/>
    </font>
    <font>
      <sz val="12"/>
      <color rgb="FF3F3F3F"/>
      <name val="Aptos Narrow"/>
      <scheme val="minor"/>
    </font>
    <font>
      <b/>
      <sz val="16"/>
      <color rgb="FFFA7D00"/>
      <name val="Aptos Narrow"/>
      <family val="2"/>
      <scheme val="minor"/>
    </font>
    <font>
      <i/>
      <sz val="12"/>
      <color theme="1" tint="0.34998626667073579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theme="4"/>
      </bottom>
      <diagonal/>
    </border>
    <border>
      <left/>
      <right/>
      <top style="thin">
        <color indexed="64"/>
      </top>
      <bottom style="thick">
        <color theme="4"/>
      </bottom>
      <diagonal/>
    </border>
    <border>
      <left/>
      <right style="thin">
        <color indexed="64"/>
      </right>
      <top style="thin">
        <color indexed="64"/>
      </top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9">
    <xf numFmtId="0" fontId="0" fillId="0" borderId="0" xfId="0"/>
    <xf numFmtId="0" fontId="0" fillId="0" borderId="0" xfId="0" applyNumberFormat="1"/>
    <xf numFmtId="0" fontId="0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pivotButton="1"/>
    <xf numFmtId="44" fontId="0" fillId="0" borderId="0" xfId="1" applyFont="1"/>
    <xf numFmtId="0" fontId="26" fillId="0" borderId="0" xfId="0" applyFont="1"/>
    <xf numFmtId="0" fontId="27" fillId="0" borderId="0" xfId="0" applyFont="1"/>
    <xf numFmtId="0" fontId="9" fillId="5" borderId="4" xfId="11" applyAlignment="1">
      <alignment horizontal="right"/>
    </xf>
    <xf numFmtId="0" fontId="9" fillId="5" borderId="4" xfId="11"/>
    <xf numFmtId="0" fontId="0" fillId="8" borderId="8" xfId="17" applyFont="1"/>
    <xf numFmtId="0" fontId="0" fillId="8" borderId="8" xfId="17" applyFont="1" applyAlignment="1">
      <alignment horizontal="right"/>
    </xf>
    <xf numFmtId="9" fontId="0" fillId="8" borderId="8" xfId="2" applyFont="1" applyFill="1" applyBorder="1" applyAlignment="1">
      <alignment horizontal="right"/>
    </xf>
    <xf numFmtId="0" fontId="3" fillId="0" borderId="1" xfId="4" applyAlignment="1">
      <alignment horizontal="left"/>
    </xf>
    <xf numFmtId="0" fontId="10" fillId="6" borderId="5" xfId="12"/>
    <xf numFmtId="9" fontId="10" fillId="6" borderId="5" xfId="12" applyNumberFormat="1" applyAlignment="1">
      <alignment horizontal="right"/>
    </xf>
    <xf numFmtId="0" fontId="10" fillId="6" borderId="5" xfId="12" applyAlignment="1">
      <alignment horizontal="right"/>
    </xf>
    <xf numFmtId="9" fontId="0" fillId="0" borderId="0" xfId="0" applyNumberFormat="1"/>
    <xf numFmtId="0" fontId="0" fillId="0" borderId="0" xfId="0" applyFill="1" applyBorder="1" applyAlignment="1"/>
    <xf numFmtId="0" fontId="29" fillId="33" borderId="13" xfId="0" applyFont="1" applyFill="1" applyBorder="1" applyAlignment="1">
      <alignment horizontal="left"/>
    </xf>
    <xf numFmtId="0" fontId="29" fillId="33" borderId="11" xfId="0" applyFont="1" applyFill="1" applyBorder="1" applyAlignment="1">
      <alignment horizontal="left"/>
    </xf>
    <xf numFmtId="0" fontId="0" fillId="0" borderId="14" xfId="0" applyFill="1" applyBorder="1" applyAlignment="1"/>
    <xf numFmtId="0" fontId="30" fillId="34" borderId="0" xfId="0" applyFont="1" applyFill="1" applyBorder="1" applyAlignment="1">
      <alignment horizontal="left"/>
    </xf>
    <xf numFmtId="0" fontId="31" fillId="34" borderId="14" xfId="0" applyFont="1" applyFill="1" applyBorder="1" applyAlignment="1">
      <alignment horizontal="left"/>
    </xf>
    <xf numFmtId="0" fontId="30" fillId="34" borderId="12" xfId="0" applyFont="1" applyFill="1" applyBorder="1" applyAlignment="1">
      <alignment horizontal="left"/>
    </xf>
    <xf numFmtId="0" fontId="32" fillId="33" borderId="11" xfId="0" applyFont="1" applyFill="1" applyBorder="1" applyAlignment="1">
      <alignment horizontal="right"/>
    </xf>
    <xf numFmtId="0" fontId="32" fillId="33" borderId="13" xfId="0" applyFont="1" applyFill="1" applyBorder="1" applyAlignment="1">
      <alignment horizontal="right"/>
    </xf>
    <xf numFmtId="0" fontId="0" fillId="35" borderId="0" xfId="0" applyFill="1" applyBorder="1" applyAlignment="1"/>
    <xf numFmtId="0" fontId="33" fillId="0" borderId="0" xfId="0" applyFont="1" applyFill="1" applyBorder="1" applyAlignment="1">
      <alignment vertical="top" wrapText="1"/>
    </xf>
    <xf numFmtId="173" fontId="0" fillId="0" borderId="12" xfId="1" applyNumberFormat="1" applyFont="1" applyFill="1" applyBorder="1" applyAlignment="1"/>
    <xf numFmtId="0" fontId="4" fillId="0" borderId="2" xfId="5"/>
    <xf numFmtId="0" fontId="19" fillId="0" borderId="0" xfId="0" applyFont="1" applyAlignment="1">
      <alignment horizontal="right"/>
    </xf>
    <xf numFmtId="170" fontId="18" fillId="0" borderId="0" xfId="1" applyNumberFormat="1" applyFont="1" applyAlignment="1">
      <alignment horizontal="right"/>
    </xf>
    <xf numFmtId="170" fontId="24" fillId="0" borderId="0" xfId="1" applyNumberFormat="1" applyFont="1" applyAlignment="1">
      <alignment horizontal="right"/>
    </xf>
    <xf numFmtId="9" fontId="18" fillId="0" borderId="0" xfId="2" applyFont="1" applyAlignment="1">
      <alignment horizontal="right"/>
    </xf>
    <xf numFmtId="0" fontId="0" fillId="0" borderId="0" xfId="0" applyAlignment="1">
      <alignment wrapText="1"/>
    </xf>
    <xf numFmtId="2" fontId="0" fillId="0" borderId="0" xfId="0" applyNumberFormat="1"/>
    <xf numFmtId="44" fontId="0" fillId="0" borderId="0" xfId="0" applyNumberFormat="1"/>
    <xf numFmtId="0" fontId="27" fillId="0" borderId="0" xfId="0" applyFont="1" applyBorder="1"/>
    <xf numFmtId="0" fontId="0" fillId="0" borderId="0" xfId="0" applyBorder="1"/>
    <xf numFmtId="0" fontId="36" fillId="5" borderId="4" xfId="11" applyFont="1" applyBorder="1"/>
    <xf numFmtId="0" fontId="0" fillId="0" borderId="13" xfId="0" applyBorder="1"/>
    <xf numFmtId="0" fontId="35" fillId="0" borderId="18" xfId="18" applyFont="1" applyBorder="1"/>
    <xf numFmtId="0" fontId="0" fillId="0" borderId="19" xfId="0" applyBorder="1"/>
    <xf numFmtId="0" fontId="0" fillId="0" borderId="18" xfId="0" applyBorder="1"/>
    <xf numFmtId="0" fontId="36" fillId="5" borderId="20" xfId="11" applyFont="1" applyBorder="1"/>
    <xf numFmtId="0" fontId="27" fillId="0" borderId="18" xfId="0" applyFont="1" applyBorder="1"/>
    <xf numFmtId="0" fontId="15" fillId="0" borderId="18" xfId="18" applyFont="1" applyBorder="1" applyAlignment="1">
      <alignment horizontal="left" wrapText="1"/>
    </xf>
    <xf numFmtId="0" fontId="15" fillId="0" borderId="0" xfId="18" applyFont="1" applyBorder="1" applyAlignment="1">
      <alignment horizontal="left" wrapText="1"/>
    </xf>
    <xf numFmtId="0" fontId="15" fillId="0" borderId="19" xfId="18" applyFont="1" applyBorder="1" applyAlignment="1">
      <alignment horizontal="left" wrapText="1"/>
    </xf>
    <xf numFmtId="0" fontId="15" fillId="0" borderId="18" xfId="18" applyFont="1" applyBorder="1" applyAlignment="1">
      <alignment wrapText="1"/>
    </xf>
    <xf numFmtId="0" fontId="15" fillId="0" borderId="0" xfId="18" applyFont="1" applyBorder="1" applyAlignment="1">
      <alignment wrapText="1"/>
    </xf>
    <xf numFmtId="0" fontId="15" fillId="0" borderId="19" xfId="18" applyFont="1" applyBorder="1" applyAlignment="1">
      <alignment wrapText="1"/>
    </xf>
    <xf numFmtId="0" fontId="39" fillId="0" borderId="18" xfId="0" applyFont="1" applyBorder="1"/>
    <xf numFmtId="0" fontId="39" fillId="0" borderId="0" xfId="0" applyFont="1" applyBorder="1"/>
    <xf numFmtId="0" fontId="34" fillId="0" borderId="15" xfId="4" applyFont="1" applyBorder="1"/>
    <xf numFmtId="0" fontId="34" fillId="0" borderId="16" xfId="4" applyFont="1" applyBorder="1"/>
    <xf numFmtId="0" fontId="34" fillId="0" borderId="17" xfId="4" applyFont="1" applyBorder="1"/>
    <xf numFmtId="1" fontId="36" fillId="5" borderId="23" xfId="11" applyNumberFormat="1" applyFont="1" applyBorder="1"/>
    <xf numFmtId="0" fontId="38" fillId="0" borderId="18" xfId="0" applyFont="1" applyBorder="1"/>
    <xf numFmtId="173" fontId="37" fillId="0" borderId="19" xfId="1" applyNumberFormat="1" applyFont="1" applyBorder="1"/>
    <xf numFmtId="9" fontId="39" fillId="0" borderId="19" xfId="2" applyFont="1" applyBorder="1"/>
    <xf numFmtId="10" fontId="39" fillId="0" borderId="19" xfId="2" applyNumberFormat="1" applyFont="1" applyBorder="1"/>
    <xf numFmtId="0" fontId="18" fillId="0" borderId="21" xfId="0" applyFont="1" applyBorder="1"/>
    <xf numFmtId="44" fontId="37" fillId="0" borderId="22" xfId="1" applyNumberFormat="1" applyFont="1" applyBorder="1"/>
    <xf numFmtId="0" fontId="4" fillId="0" borderId="2" xfId="5" applyAlignment="1">
      <alignment horizontal="left"/>
    </xf>
    <xf numFmtId="0" fontId="4" fillId="0" borderId="2" xfId="5" applyAlignment="1">
      <alignment horizontal="left"/>
    </xf>
    <xf numFmtId="0" fontId="23" fillId="0" borderId="10" xfId="0" applyFont="1" applyFill="1" applyBorder="1"/>
    <xf numFmtId="0" fontId="0" fillId="0" borderId="0" xfId="0" applyAlignment="1">
      <alignment wrapText="1"/>
    </xf>
    <xf numFmtId="0" fontId="14" fillId="8" borderId="8" xfId="17" applyFont="1"/>
    <xf numFmtId="0" fontId="14" fillId="8" borderId="8" xfId="17" applyFont="1" applyAlignment="1">
      <alignment horizontal="right"/>
    </xf>
    <xf numFmtId="0" fontId="28" fillId="0" borderId="0" xfId="0" applyFont="1" applyAlignment="1">
      <alignment horizontal="left" vertical="top" wrapText="1"/>
    </xf>
    <xf numFmtId="0" fontId="40" fillId="0" borderId="0" xfId="0" applyFont="1" applyAlignment="1">
      <alignment horizontal="left" vertical="top" wrapText="1"/>
    </xf>
    <xf numFmtId="0" fontId="41" fillId="0" borderId="6" xfId="14" applyFont="1"/>
    <xf numFmtId="0" fontId="42" fillId="6" borderId="5" xfId="12" applyFont="1"/>
    <xf numFmtId="9" fontId="10" fillId="6" borderId="5" xfId="2" applyFont="1" applyFill="1" applyBorder="1" applyAlignment="1">
      <alignment horizontal="right"/>
    </xf>
    <xf numFmtId="44" fontId="9" fillId="5" borderId="4" xfId="1" applyFont="1" applyFill="1" applyBorder="1" applyAlignment="1">
      <alignment horizontal="right"/>
    </xf>
    <xf numFmtId="173" fontId="9" fillId="5" borderId="4" xfId="1" applyNumberFormat="1" applyFont="1" applyFill="1" applyBorder="1" applyAlignment="1">
      <alignment horizontal="right"/>
    </xf>
    <xf numFmtId="44" fontId="9" fillId="5" borderId="4" xfId="1" applyFont="1" applyFill="1" applyBorder="1"/>
    <xf numFmtId="0" fontId="34" fillId="0" borderId="15" xfId="4" applyFont="1" applyBorder="1" applyAlignment="1">
      <alignment horizontal="left"/>
    </xf>
    <xf numFmtId="0" fontId="34" fillId="0" borderId="16" xfId="4" applyFont="1" applyBorder="1" applyAlignment="1">
      <alignment horizontal="left"/>
    </xf>
    <xf numFmtId="0" fontId="34" fillId="0" borderId="17" xfId="4" applyFont="1" applyBorder="1" applyAlignment="1">
      <alignment horizontal="left"/>
    </xf>
    <xf numFmtId="0" fontId="26" fillId="0" borderId="18" xfId="0" applyFont="1" applyBorder="1"/>
    <xf numFmtId="0" fontId="27" fillId="0" borderId="21" xfId="0" applyFont="1" applyBorder="1"/>
    <xf numFmtId="0" fontId="36" fillId="5" borderId="4" xfId="11" applyFont="1" applyBorder="1" applyAlignment="1">
      <alignment horizontal="right"/>
    </xf>
    <xf numFmtId="0" fontId="26" fillId="0" borderId="19" xfId="0" applyFont="1" applyBorder="1" applyAlignment="1">
      <alignment horizontal="right"/>
    </xf>
    <xf numFmtId="0" fontId="27" fillId="0" borderId="0" xfId="0" applyFont="1" applyBorder="1" applyAlignment="1">
      <alignment horizontal="right"/>
    </xf>
    <xf numFmtId="0" fontId="27" fillId="0" borderId="19" xfId="0" applyFont="1" applyBorder="1" applyAlignment="1">
      <alignment horizontal="right"/>
    </xf>
    <xf numFmtId="0" fontId="26" fillId="0" borderId="0" xfId="0" applyFont="1" applyBorder="1"/>
    <xf numFmtId="0" fontId="26" fillId="0" borderId="0" xfId="0" applyFont="1" applyBorder="1" applyAlignment="1">
      <alignment horizontal="right"/>
    </xf>
    <xf numFmtId="0" fontId="43" fillId="6" borderId="4" xfId="13" applyFont="1" applyBorder="1"/>
    <xf numFmtId="0" fontId="43" fillId="6" borderId="4" xfId="13" applyFont="1" applyBorder="1" applyAlignment="1">
      <alignment horizontal="right"/>
    </xf>
    <xf numFmtId="11" fontId="43" fillId="6" borderId="4" xfId="13" applyNumberFormat="1" applyFont="1" applyBorder="1" applyAlignment="1">
      <alignment horizontal="right"/>
    </xf>
    <xf numFmtId="11" fontId="25" fillId="0" borderId="0" xfId="0" applyNumberFormat="1" applyFont="1" applyBorder="1" applyAlignment="1">
      <alignment horizontal="right"/>
    </xf>
    <xf numFmtId="0" fontId="25" fillId="0" borderId="0" xfId="0" applyFont="1" applyBorder="1" applyAlignment="1">
      <alignment horizontal="right"/>
    </xf>
    <xf numFmtId="170" fontId="25" fillId="0" borderId="0" xfId="1" applyNumberFormat="1" applyFont="1" applyBorder="1" applyAlignment="1">
      <alignment horizontal="right"/>
    </xf>
    <xf numFmtId="170" fontId="27" fillId="0" borderId="0" xfId="1" applyNumberFormat="1" applyFont="1" applyBorder="1" applyAlignment="1">
      <alignment horizontal="right"/>
    </xf>
    <xf numFmtId="0" fontId="26" fillId="0" borderId="13" xfId="0" applyFont="1" applyBorder="1"/>
    <xf numFmtId="9" fontId="25" fillId="0" borderId="13" xfId="2" applyFont="1" applyBorder="1" applyAlignment="1">
      <alignment horizontal="right"/>
    </xf>
    <xf numFmtId="0" fontId="26" fillId="0" borderId="22" xfId="0" applyFont="1" applyBorder="1" applyAlignment="1">
      <alignment horizontal="right"/>
    </xf>
    <xf numFmtId="0" fontId="44" fillId="0" borderId="0" xfId="18" applyFont="1" applyFill="1" applyAlignment="1">
      <alignment horizontal="left" vertical="top" wrapText="1"/>
    </xf>
    <xf numFmtId="0" fontId="10" fillId="6" borderId="5" xfId="12" applyAlignment="1">
      <alignment horizontal="left"/>
    </xf>
    <xf numFmtId="173" fontId="10" fillId="6" borderId="5" xfId="12" applyNumberFormat="1"/>
    <xf numFmtId="44" fontId="10" fillId="6" borderId="5" xfId="12" applyNumberFormat="1"/>
    <xf numFmtId="9" fontId="10" fillId="6" borderId="5" xfId="12" applyNumberForma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20"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13" formatCode="0%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[Alice_Master_Analysis_View.xlsx]Insights_Analysis!PivotTable12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Unit Economics vs. Payload Capacity</a:t>
            </a:r>
          </a:p>
          <a:p>
            <a:pPr>
              <a:defRPr/>
            </a:pPr>
            <a:r>
              <a:rPr lang="en-US" sz="1400" b="0" i="0" u="none" strike="noStrike" baseline="0">
                <a:effectLst/>
              </a:rPr>
              <a:t>1,000 lbs minimum for break-even operations.</a:t>
            </a:r>
            <a:endParaRPr lang="en-US"/>
          </a:p>
        </c:rich>
      </c:tx>
      <c:layout>
        <c:manualLayout>
          <c:xMode val="edge"/>
          <c:yMode val="edge"/>
          <c:x val="0.12826694604110891"/>
          <c:y val="1.65722353727187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ED97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ED97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8ED97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471909155113736"/>
          <c:y val="0.16811372007006459"/>
          <c:w val="0.72552867392440379"/>
          <c:h val="0.750560331008273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Insights_Analysis!$B$2</c:f>
              <c:strCache>
                <c:ptCount val="1"/>
                <c:pt idx="0">
                  <c:v>Average of Net_Profit_60</c:v>
                </c:pt>
              </c:strCache>
            </c:strRef>
          </c:tx>
          <c:spPr>
            <a:solidFill>
              <a:srgbClr val="8ED973"/>
            </a:solidFill>
            <a:ln>
              <a:noFill/>
            </a:ln>
            <a:effectLst/>
          </c:spPr>
          <c:invertIfNegative val="1"/>
          <c:cat>
            <c:strRef>
              <c:f>Insights_Analysis!$A$3:$A$22</c:f>
              <c:strCache>
                <c:ptCount val="20"/>
                <c:pt idx="0">
                  <c:v>500-600</c:v>
                </c:pt>
                <c:pt idx="1">
                  <c:v>600-700</c:v>
                </c:pt>
                <c:pt idx="2">
                  <c:v>700-800</c:v>
                </c:pt>
                <c:pt idx="3">
                  <c:v>800-900</c:v>
                </c:pt>
                <c:pt idx="4">
                  <c:v>900-1000</c:v>
                </c:pt>
                <c:pt idx="5">
                  <c:v>1000-1100</c:v>
                </c:pt>
                <c:pt idx="6">
                  <c:v>1100-1200</c:v>
                </c:pt>
                <c:pt idx="7">
                  <c:v>1200-1300</c:v>
                </c:pt>
                <c:pt idx="8">
                  <c:v>1300-1400</c:v>
                </c:pt>
                <c:pt idx="9">
                  <c:v>1400-1500</c:v>
                </c:pt>
                <c:pt idx="10">
                  <c:v>1500-1600</c:v>
                </c:pt>
                <c:pt idx="11">
                  <c:v>1600-1700</c:v>
                </c:pt>
                <c:pt idx="12">
                  <c:v>1700-1800</c:v>
                </c:pt>
                <c:pt idx="13">
                  <c:v>1800-1900</c:v>
                </c:pt>
                <c:pt idx="14">
                  <c:v>1900-2000</c:v>
                </c:pt>
                <c:pt idx="15">
                  <c:v>2000-2100</c:v>
                </c:pt>
                <c:pt idx="16">
                  <c:v>2100-2200</c:v>
                </c:pt>
                <c:pt idx="17">
                  <c:v>2200-2300</c:v>
                </c:pt>
                <c:pt idx="18">
                  <c:v>2300-2400</c:v>
                </c:pt>
                <c:pt idx="19">
                  <c:v>2400-2500</c:v>
                </c:pt>
              </c:strCache>
            </c:strRef>
          </c:cat>
          <c:val>
            <c:numRef>
              <c:f>Insights_Analysis!$B$3:$B$22</c:f>
              <c:numCache>
                <c:formatCode>_("$"* #,##0.00_);_("$"* \(#,##0.00\);_("$"* "-"??_);_(@_)</c:formatCode>
                <c:ptCount val="20"/>
                <c:pt idx="0">
                  <c:v>-567.13151550559724</c:v>
                </c:pt>
                <c:pt idx="1">
                  <c:v>-392.07187188302595</c:v>
                </c:pt>
                <c:pt idx="2">
                  <c:v>-237.37735337983668</c:v>
                </c:pt>
                <c:pt idx="3">
                  <c:v>-29.147311934647831</c:v>
                </c:pt>
                <c:pt idx="4">
                  <c:v>161.7983819003133</c:v>
                </c:pt>
                <c:pt idx="5">
                  <c:v>300.55789120141941</c:v>
                </c:pt>
                <c:pt idx="6">
                  <c:v>465.25529327306811</c:v>
                </c:pt>
                <c:pt idx="7">
                  <c:v>635.70928913458636</c:v>
                </c:pt>
                <c:pt idx="8">
                  <c:v>837.21603753005479</c:v>
                </c:pt>
                <c:pt idx="9">
                  <c:v>1030.8727209630379</c:v>
                </c:pt>
                <c:pt idx="10">
                  <c:v>1159.8126064791568</c:v>
                </c:pt>
                <c:pt idx="11">
                  <c:v>1390.9390614577435</c:v>
                </c:pt>
                <c:pt idx="12">
                  <c:v>1534.3416293218709</c:v>
                </c:pt>
                <c:pt idx="13">
                  <c:v>1704.3636367440461</c:v>
                </c:pt>
                <c:pt idx="14">
                  <c:v>1918.2280999512125</c:v>
                </c:pt>
                <c:pt idx="15">
                  <c:v>2103.6851067790617</c:v>
                </c:pt>
                <c:pt idx="16">
                  <c:v>2295.8238164621762</c:v>
                </c:pt>
                <c:pt idx="17">
                  <c:v>2447.976010679814</c:v>
                </c:pt>
                <c:pt idx="18">
                  <c:v>2553.1815201507566</c:v>
                </c:pt>
                <c:pt idx="19">
                  <c:v>2779.4918684889108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7F7F7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1BD8-B34C-837E-1F3B930AC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7238704"/>
        <c:axId val="1775710351"/>
      </c:barChart>
      <c:lineChart>
        <c:grouping val="standard"/>
        <c:varyColors val="0"/>
        <c:ser>
          <c:idx val="1"/>
          <c:order val="1"/>
          <c:tx>
            <c:strRef>
              <c:f>Insights_Analysis!$C$2</c:f>
              <c:strCache>
                <c:ptCount val="1"/>
                <c:pt idx="0">
                  <c:v>Average of Margin_%_60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Insights_Analysis!$A$3:$A$22</c:f>
              <c:strCache>
                <c:ptCount val="20"/>
                <c:pt idx="0">
                  <c:v>500-600</c:v>
                </c:pt>
                <c:pt idx="1">
                  <c:v>600-700</c:v>
                </c:pt>
                <c:pt idx="2">
                  <c:v>700-800</c:v>
                </c:pt>
                <c:pt idx="3">
                  <c:v>800-900</c:v>
                </c:pt>
                <c:pt idx="4">
                  <c:v>900-1000</c:v>
                </c:pt>
                <c:pt idx="5">
                  <c:v>1000-1100</c:v>
                </c:pt>
                <c:pt idx="6">
                  <c:v>1100-1200</c:v>
                </c:pt>
                <c:pt idx="7">
                  <c:v>1200-1300</c:v>
                </c:pt>
                <c:pt idx="8">
                  <c:v>1300-1400</c:v>
                </c:pt>
                <c:pt idx="9">
                  <c:v>1400-1500</c:v>
                </c:pt>
                <c:pt idx="10">
                  <c:v>1500-1600</c:v>
                </c:pt>
                <c:pt idx="11">
                  <c:v>1600-1700</c:v>
                </c:pt>
                <c:pt idx="12">
                  <c:v>1700-1800</c:v>
                </c:pt>
                <c:pt idx="13">
                  <c:v>1800-1900</c:v>
                </c:pt>
                <c:pt idx="14">
                  <c:v>1900-2000</c:v>
                </c:pt>
                <c:pt idx="15">
                  <c:v>2000-2100</c:v>
                </c:pt>
                <c:pt idx="16">
                  <c:v>2100-2200</c:v>
                </c:pt>
                <c:pt idx="17">
                  <c:v>2200-2300</c:v>
                </c:pt>
                <c:pt idx="18">
                  <c:v>2300-2400</c:v>
                </c:pt>
                <c:pt idx="19">
                  <c:v>2400-2500</c:v>
                </c:pt>
              </c:strCache>
            </c:strRef>
          </c:cat>
          <c:val>
            <c:numRef>
              <c:f>Insights_Analysis!$C$3:$C$22</c:f>
              <c:numCache>
                <c:formatCode>0%</c:formatCode>
                <c:ptCount val="20"/>
                <c:pt idx="0">
                  <c:v>-0.36554338491802763</c:v>
                </c:pt>
                <c:pt idx="1">
                  <c:v>-0.21506230945347404</c:v>
                </c:pt>
                <c:pt idx="2">
                  <c:v>-0.11486328666721035</c:v>
                </c:pt>
                <c:pt idx="3">
                  <c:v>-1.232820892181863E-2</c:v>
                </c:pt>
                <c:pt idx="4">
                  <c:v>5.9590363165664066E-2</c:v>
                </c:pt>
                <c:pt idx="5">
                  <c:v>0.10203247599693271</c:v>
                </c:pt>
                <c:pt idx="6">
                  <c:v>0.14521683759709289</c:v>
                </c:pt>
                <c:pt idx="7">
                  <c:v>0.18311755515311745</c:v>
                </c:pt>
                <c:pt idx="8">
                  <c:v>0.22088525867158898</c:v>
                </c:pt>
                <c:pt idx="9">
                  <c:v>0.25076903326884353</c:v>
                </c:pt>
                <c:pt idx="10">
                  <c:v>0.26876538215483237</c:v>
                </c:pt>
                <c:pt idx="11">
                  <c:v>0.29796934030511535</c:v>
                </c:pt>
                <c:pt idx="12">
                  <c:v>0.31279974090046792</c:v>
                </c:pt>
                <c:pt idx="13">
                  <c:v>0.32929190440062972</c:v>
                </c:pt>
                <c:pt idx="14">
                  <c:v>0.34789170533968966</c:v>
                </c:pt>
                <c:pt idx="15">
                  <c:v>0.36178849220006282</c:v>
                </c:pt>
                <c:pt idx="16">
                  <c:v>0.37543011415322491</c:v>
                </c:pt>
                <c:pt idx="17">
                  <c:v>0.38519138603532133</c:v>
                </c:pt>
                <c:pt idx="18">
                  <c:v>0.39127961050284737</c:v>
                </c:pt>
                <c:pt idx="19">
                  <c:v>0.40372769321382423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D8-B34C-837E-1F3B930AC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965584"/>
        <c:axId val="786709472"/>
      </c:lineChart>
      <c:catAx>
        <c:axId val="627238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effectLst/>
                  </a:rPr>
                  <a:t>Payload Weight (lbs)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710351"/>
        <c:crosses val="autoZero"/>
        <c:auto val="1"/>
        <c:lblAlgn val="ctr"/>
        <c:lblOffset val="100"/>
        <c:noMultiLvlLbl val="0"/>
      </c:catAx>
      <c:valAx>
        <c:axId val="177571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effectLst/>
                  </a:rPr>
                  <a:t>Net Profit per Sortie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238704"/>
        <c:crosses val="autoZero"/>
        <c:crossBetween val="between"/>
      </c:valAx>
      <c:valAx>
        <c:axId val="786709472"/>
        <c:scaling>
          <c:orientation val="minMax"/>
          <c:max val="1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effectLst/>
                  </a:rPr>
                  <a:t>EBITDA Margin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965584"/>
        <c:crosses val="max"/>
        <c:crossBetween val="between"/>
      </c:valAx>
      <c:catAx>
        <c:axId val="786965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6709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321292243868639"/>
          <c:y val="7.1067486840079236E-3"/>
          <c:w val="0.25035109085614526"/>
          <c:h val="0.138108572934799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[Alice_Master_Analysis_View.xlsx]Insights_Analysis!PivotTable14</c:name>
    <c:fmtId val="3"/>
  </c:pivotSource>
  <c:chart>
    <c:autoTitleDeleted val="0"/>
    <c:pivotFmts>
      <c:pivotFmt>
        <c:idx val="0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85000"/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85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85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Insights_Analysis!$E$2</c:f>
              <c:strCache>
                <c:ptCount val="1"/>
                <c:pt idx="0">
                  <c:v>Average of Net_Profit_60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Insights_Analysis!$E$3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Insights_Analysis!$E$3</c:f>
              <c:numCache>
                <c:formatCode>General</c:formatCode>
                <c:ptCount val="1"/>
                <c:pt idx="0">
                  <c:v>1089.5620146175636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1-0441-8434-F9B6A311AF12}"/>
            </c:ext>
          </c:extLst>
        </c:ser>
        <c:ser>
          <c:idx val="1"/>
          <c:order val="1"/>
          <c:tx>
            <c:strRef>
              <c:f>Insights_Analysis!$F$2</c:f>
              <c:strCache>
                <c:ptCount val="1"/>
                <c:pt idx="0">
                  <c:v>Average of Net_Profit_75</c:v>
                </c:pt>
              </c:strCache>
            </c:strRef>
          </c:tx>
          <c:spPr>
            <a:solidFill>
              <a:schemeClr val="bg1">
                <a:lumMod val="85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Insights_Analysis!$E$3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Insights_Analysis!$F$3</c:f>
              <c:numCache>
                <c:formatCode>General</c:formatCode>
                <c:ptCount val="1"/>
                <c:pt idx="0">
                  <c:v>1728.9854212373875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01-0441-8434-F9B6A311AF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371998543"/>
        <c:axId val="371623679"/>
      </c:barChart>
      <c:catAx>
        <c:axId val="37199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623679"/>
        <c:crosses val="autoZero"/>
        <c:auto val="1"/>
        <c:lblAlgn val="ctr"/>
        <c:lblOffset val="100"/>
        <c:noMultiLvlLbl val="0"/>
      </c:catAx>
      <c:valAx>
        <c:axId val="37162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9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071477221776648"/>
          <c:y val="0.4058263006375285"/>
          <c:w val="0.23944002226996167"/>
          <c:h val="0.19529102115809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803249</xdr:colOff>
      <xdr:row>18</xdr:row>
      <xdr:rowOff>151965</xdr:rowOff>
    </xdr:from>
    <xdr:to>
      <xdr:col>8</xdr:col>
      <xdr:colOff>2659403</xdr:colOff>
      <xdr:row>38</xdr:row>
      <xdr:rowOff>130257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075A56-D40D-FC47-A285-0B554B046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3071881</xdr:colOff>
      <xdr:row>18</xdr:row>
      <xdr:rowOff>184530</xdr:rowOff>
    </xdr:from>
    <xdr:to>
      <xdr:col>12</xdr:col>
      <xdr:colOff>488462</xdr:colOff>
      <xdr:row>38</xdr:row>
      <xdr:rowOff>130255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D97737-DA9B-B74B-B977-FC82684BD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inxuan Gan" refreshedDate="46114.577304513892" createdVersion="8" refreshedVersion="8" minRefreshableVersion="3" recordCount="100" xr:uid="{886A8C50-0C2C-1747-8C59-D1182F40A0CA}">
  <cacheSource type="worksheet">
    <worksheetSource name="Alice_Master_Analysis_View"/>
  </cacheSource>
  <cacheFields count="20">
    <cacheField name="flight_id" numFmtId="0">
      <sharedItems/>
    </cacheField>
    <cacheField name="Start_SoC" numFmtId="0">
      <sharedItems containsSemiMixedTypes="0" containsString="0" containsNumber="1" minValue="99.02600000000001" maxValue="99.186666666666667"/>
    </cacheField>
    <cacheField name="End_SoC" numFmtId="0">
      <sharedItems containsSemiMixedTypes="0" containsString="0" containsNumber="1" minValue="0" maxValue="15.526999999999999"/>
    </cacheField>
    <cacheField name="Avg_Burn_rate_per_min" numFmtId="0">
      <sharedItems containsSemiMixedTypes="0" containsString="0" containsNumber="1" minValue="1.1154622222222221" maxValue="1.32104" count="97">
        <n v="1.1813555555555555"/>
        <n v="1.3204688888888887"/>
        <n v="1.3118000000000001"/>
        <n v="1.320508888888889"/>
        <n v="1.3204111111111112"/>
        <n v="1.1528155555555557"/>
        <n v="1.1775822222222223"/>
        <n v="1.18414"/>
        <n v="1.1269222222222224"/>
        <n v="1.3206777777777778"/>
        <n v="1.1253244444444443"/>
        <n v="1.3208"/>
        <n v="1.3135022222222223"/>
        <n v="1.1808622222222225"/>
        <n v="1.1864333333333335"/>
        <n v="1.3043755555555554"/>
        <n v="1.1517222222222221"/>
        <n v="1.182671111111111"/>
        <n v="1.2960688888888887"/>
        <n v="1.32104"/>
        <n v="1.3207666666666666"/>
        <n v="1.1782577777777776"/>
        <n v="1.2991377777777777"/>
        <n v="1.1674844444444445"/>
        <n v="1.188128888888889"/>
        <n v="1.1825177777777778"/>
        <n v="1.3210177777777778"/>
        <n v="1.2962555555555553"/>
        <n v="1.3199777777777777"/>
        <n v="1.1859711111111111"/>
        <n v="1.3193711111111111"/>
        <n v="1.1364022222222221"/>
        <n v="1.1852666666666667"/>
        <n v="1.1815555555555555"/>
        <n v="1.1790688888888889"/>
        <n v="1.3208622222222222"/>
        <n v="1.3207844444444443"/>
        <n v="1.1344133333333333"/>
        <n v="1.1803666666666668"/>
        <n v="1.3207555555555555"/>
        <n v="1.1834244444444444"/>
        <n v="1.1800955555555555"/>
        <n v="1.3208977777777777"/>
        <n v="1.1154622222222221"/>
        <n v="1.3208888888888888"/>
        <n v="1.1522066666666668"/>
        <n v="1.1833777777777776"/>
        <n v="1.1855111111111112"/>
        <n v="1.3189088888888887"/>
        <n v="1.1848288888888889"/>
        <n v="1.1848533333333333"/>
        <n v="1.3207200000000001"/>
        <n v="1.1554577777777779"/>
        <n v="1.3204911111111111"/>
        <n v="1.1869511111111111"/>
        <n v="1.321028888888889"/>
        <n v="1.1840733333333333"/>
        <n v="1.1848866666666669"/>
        <n v="1.3208511111111112"/>
        <n v="1.1578333333333335"/>
        <n v="1.1804977777777779"/>
        <n v="1.1876911111111113"/>
        <n v="1.185357777777778"/>
        <n v="1.1854533333333332"/>
        <n v="1.1857244444444444"/>
        <n v="1.3208266666666666"/>
        <n v="1.1814866666666666"/>
        <n v="1.1881688888888888"/>
        <n v="1.3208044444444444"/>
        <n v="1.3203466666666668"/>
        <n v="1.1871444444444446"/>
        <n v="1.1823644444444446"/>
        <n v="1.3209044444444444"/>
        <n v="1.3209244444444443"/>
        <n v="1.1875644444444444"/>
        <n v="1.3144288888888891"/>
        <n v="1.3209066666666667"/>
        <n v="1.1865355555555555"/>
        <n v="1.1235488888888889"/>
        <n v="1.1867377777777779"/>
        <n v="1.1812377777777778"/>
        <n v="1.1857466666666667"/>
        <n v="1.1668133333333333"/>
        <n v="1.3205333333333333"/>
        <n v="1.1557533333333334"/>
        <n v="1.3206155555555557"/>
        <n v="1.3057733333333335"/>
        <n v="1.1806888888888887"/>
        <n v="1.155882222222222"/>
        <n v="1.1858755555555556"/>
        <n v="1.1824644444444443"/>
        <n v="1.1884822222222222"/>
        <n v="1.3209200000000001"/>
        <n v="1.1843999999999999"/>
        <n v="1.1796444444444445"/>
        <n v="1.3069422222222222"/>
        <n v="1.1814155555555557"/>
      </sharedItems>
    </cacheField>
    <cacheField name="Projected_SoC_60min" numFmtId="0">
      <sharedItems containsSemiMixedTypes="0" containsString="0" containsNumber="1" minValue="20.7376" maxValue="33.072266666666678"/>
    </cacheField>
    <cacheField name="Payload(lbs)" numFmtId="0">
      <sharedItems containsSemiMixedTypes="0" containsString="0" containsNumber="1" minValue="523.65287286989417" maxValue="2478.8887247984153" count="100">
        <n v="963.91134781858102"/>
        <n v="2478.8887247984153"/>
        <n v="1516.2098099583991"/>
        <n v="2293.3281163142742"/>
        <n v="2026.0389662839109"/>
        <n v="966.81298656826323"/>
        <n v="2238.6142266665197"/>
        <n v="1961.6395275356861"/>
        <n v="714.97826268347023"/>
        <n v="2168.9559645655763"/>
        <n v="830.05512493529898"/>
        <n v="1545.7350434124969"/>
        <n v="1685.6301646707304"/>
        <n v="1726.6509320393063"/>
        <n v="1675.9624596393071"/>
        <n v="2178.2789512764057"/>
        <n v="1138.5452454136066"/>
        <n v="731.53228209475117"/>
        <n v="2313.8561376333432"/>
        <n v="1566.7153945277312"/>
        <n v="1877.057989619386"/>
        <n v="2188.3387041018327"/>
        <n v="1738.6365792152469"/>
        <n v="1252.2045918659501"/>
        <n v="1018.4421534435731"/>
        <n v="844.07755819346005"/>
        <n v="2295.6860890780977"/>
        <n v="2246.9537459200228"/>
        <n v="1746.1648643194485"/>
        <n v="866.32746253844562"/>
        <n v="2319.8586679009086"/>
        <n v="752.7337366305793"/>
        <n v="837.61741023998718"/>
        <n v="1383.8868594791841"/>
        <n v="1623.5284569887992"/>
        <n v="2099.9592737981675"/>
        <n v="1989.5057846282159"/>
        <n v="718.19086046664711"/>
        <n v="874.27233718808156"/>
        <n v="1841.7838907036876"/>
        <n v="864.24989860113328"/>
        <n v="2193.23858689504"/>
        <n v="1772.8027719946456"/>
        <n v="1345.6278515577735"/>
        <n v="1497.834087705766"/>
        <n v="711.80459408069942"/>
        <n v="2335.2977883802232"/>
        <n v="1042.0295997944311"/>
        <n v="523.65287286989417"/>
        <n v="879.74193294549434"/>
        <n v="2072.0165994488748"/>
        <n v="712.04995601057556"/>
        <n v="2160.2011261691741"/>
        <n v="1659.5099419874286"/>
        <n v="2315.4858243352619"/>
        <n v="642.16001010192406"/>
        <n v="2315.0995202002964"/>
        <n v="1321.2434711517606"/>
        <n v="2126.7741487579851"/>
        <n v="1274.8199099589272"/>
        <n v="697.02747509124038"/>
        <n v="2267.0073298249195"/>
        <n v="538.20179053801326"/>
        <n v="1375.2786294074422"/>
        <n v="1246.6367090077829"/>
        <n v="1202.1852361644767"/>
        <n v="1413.2874943843708"/>
        <n v="598.40540630248267"/>
        <n v="1929.548529915068"/>
        <n v="766.64676374234261"/>
        <n v="1086.8444425334012"/>
        <n v="2416.3545562622721"/>
        <n v="2188.3936702412789"/>
        <n v="1507.0650725647658"/>
        <n v="1305.9744356666574"/>
        <n v="2339.729246215526"/>
        <n v="2300.9181846038382"/>
        <n v="1800.9230080177174"/>
        <n v="1126.9644060937735"/>
        <n v="2059.2087538594783"/>
        <n v="1677.2954300586475"/>
        <n v="742.65554479647471"/>
        <n v="766.25739787025452"/>
        <n v="1028.9324465132163"/>
        <n v="1634.7106980545964"/>
        <n v="561.54091926012302"/>
        <n v="2214.9061532687097"/>
        <n v="869.50862383998469"/>
        <n v="2078.9038239014872"/>
        <n v="2188.9085307642313"/>
        <n v="1211.4103231145884"/>
        <n v="1174.3330897361138"/>
        <n v="783.49375297221661"/>
        <n v="1713.9835501869643"/>
        <n v="1131.0521179798131"/>
        <n v="1765.1433114814756"/>
        <n v="1210.4110758812492"/>
        <n v="622.74247462911819"/>
        <n v="1470.5026563239981"/>
        <n v="1118.9791682543705"/>
      </sharedItems>
      <fieldGroup base="5">
        <rangePr autoStart="0" autoEnd="0" startNum="500" endNum="2500" groupInterval="100"/>
        <groupItems count="22">
          <s v="&lt;500"/>
          <s v="500-600"/>
          <s v="600-700"/>
          <s v="700-800"/>
          <s v="800-900"/>
          <s v="900-1000"/>
          <s v="1000-1100"/>
          <s v="1100-1200"/>
          <s v="1200-1300"/>
          <s v="1300-1400"/>
          <s v="1400-1500"/>
          <s v="1500-1600"/>
          <s v="1600-1700"/>
          <s v="1700-1800"/>
          <s v="1800-1900"/>
          <s v="1900-2000"/>
          <s v="2000-2100"/>
          <s v="2100-2200"/>
          <s v="2200-2300"/>
          <s v="2300-2400"/>
          <s v="2400-2500"/>
          <s v="&gt;2500"/>
        </groupItems>
      </fieldGroup>
    </cacheField>
    <cacheField name="Temp" numFmtId="0">
      <sharedItems containsSemiMixedTypes="0" containsString="0" containsNumber="1" minValue="-4.738867421989613" maxValue="44.973546080312239"/>
    </cacheField>
    <cacheField name="Firmwave" numFmtId="0">
      <sharedItems count="2">
        <s v="v2.2"/>
        <s v="v2.1"/>
      </sharedItems>
    </cacheField>
    <cacheField name="Is_Alert" numFmtId="0">
      <sharedItems/>
    </cacheField>
    <cacheField name="Is_60min_Safe" numFmtId="0">
      <sharedItems containsSemiMixedTypes="0" containsString="0" containsNumber="1" containsInteger="1" minValue="1" maxValue="1"/>
    </cacheField>
    <cacheField name="Sortie_75_energy_OpEx" numFmtId="0">
      <sharedItems containsSemiMixedTypes="0" containsString="0" containsNumber="1" minValue="143.35920480000001" maxValue="169.7800608"/>
    </cacheField>
    <cacheField name="Depreciation_OpEx" numFmtId="0">
      <sharedItems containsSemiMixedTypes="0" containsString="0" containsNumber="1" minValue="245.55190036696419" maxValue="291.17407024529638"/>
    </cacheField>
    <cacheField name="Total_OpEx_75" numFmtId="0">
      <sharedItems containsSemiMixedTypes="0" containsString="0" containsNumber="1" minValue="1593.3013119952163" maxValue="1660.8807318452964"/>
    </cacheField>
    <cacheField name="Revenue" numFmtId="0">
      <sharedItems containsSemiMixedTypes="0" containsString="0" containsNumber="1" minValue="1178.2189639572618" maxValue="5577.4996307964348"/>
    </cacheField>
    <cacheField name="Net_Profit_75" numFmtId="0">
      <sharedItems containsSemiMixedTypes="0" containsString="0" containsNumber="1" minValue="-419.42064840970238" maxValue="3916.6188989511384"/>
    </cacheField>
    <cacheField name="Margin_%_75" numFmtId="0">
      <sharedItems containsSemiMixedTypes="0" containsString="0" containsNumber="1" minValue="-0.3559785245698322" maxValue="0.70221768860823175"/>
    </cacheField>
    <cacheField name="Sortie_60_energy_OpEx" numFmtId="0">
      <sharedItems containsSemiMixedTypes="0" containsString="0" containsNumber="1" minValue="114.68736383999997" maxValue="135.82404864000003"/>
    </cacheField>
    <cacheField name="Net_Profit_60" numFmtId="0">
      <sharedItems containsSemiMixedTypes="0" containsString="0" containsNumber="1" minValue="-624.64689880115463" maxValue="2835.0603051118519"/>
    </cacheField>
    <cacheField name="Margin_%_60" numFmtId="0">
      <sharedItems containsSemiMixedTypes="0" containsString="0" containsNumber="1" minValue="-0.42412958399730044" maxValue="0.40664247319109503"/>
    </cacheField>
    <cacheField name="%_Profit_Loss_for_Safety" numFmtId="0">
      <sharedItems containsSemiMixedTypes="0" containsString="0" containsNumber="1" minValue="-264472.28987563151" maxValue="3531.17029493879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inxuan Gan" refreshedDate="46114.624641203707" createdVersion="8" refreshedVersion="8" minRefreshableVersion="3" recordCount="101" xr:uid="{B25609C9-3B53-424D-978A-CD8E02AEA087}">
  <cacheSource type="worksheet">
    <worksheetSource ref="A1:T1048576" sheet="Financial_Analysis_View"/>
  </cacheSource>
  <cacheFields count="20">
    <cacheField name="flight_id" numFmtId="0">
      <sharedItems containsBlank="1"/>
    </cacheField>
    <cacheField name="Start_SoC" numFmtId="0">
      <sharedItems containsString="0" containsBlank="1" containsNumber="1" minValue="99.02600000000001" maxValue="99.186666666666667"/>
    </cacheField>
    <cacheField name="End_SoC" numFmtId="0">
      <sharedItems containsString="0" containsBlank="1" containsNumber="1" minValue="0" maxValue="15.526999999999999"/>
    </cacheField>
    <cacheField name="Avg_Burn_rate_per_min" numFmtId="0">
      <sharedItems containsString="0" containsBlank="1" containsNumber="1" minValue="1.1154622222222221" maxValue="1.32104"/>
    </cacheField>
    <cacheField name="Projected_SoC_60min" numFmtId="0">
      <sharedItems containsString="0" containsBlank="1" containsNumber="1" minValue="20.7376" maxValue="33.072266666666678"/>
    </cacheField>
    <cacheField name="Payload(lbs)" numFmtId="0">
      <sharedItems containsString="0" containsBlank="1" containsNumber="1" minValue="523.65287286989417" maxValue="2478.8887247984153"/>
    </cacheField>
    <cacheField name="Temp" numFmtId="0">
      <sharedItems containsString="0" containsBlank="1" containsNumber="1" minValue="-4.738867421989613" maxValue="44.973546080312239" count="101">
        <n v="38.328564788085622"/>
        <n v="8.1998755083305337"/>
        <n v="44.750618004282707"/>
        <n v="44.454489569557552"/>
        <n v="-2.2340356766006275"/>
        <n v="21.116246305405681"/>
        <n v="23.531614105382953"/>
        <n v="24.384000097013381"/>
        <n v="29.54708405099862"/>
        <n v="7.1478090448323144"/>
        <n v="23.024756051742649"/>
        <n v="-2.3371035101502411"/>
        <n v="41.647991704923697"/>
        <n v="35.292584402213102"/>
        <n v="18.243523388153253"/>
        <n v="19.742995365804195"/>
        <n v="24.735304622695747"/>
        <n v="3.522445636344206"/>
        <n v="23.85749221573915"/>
        <n v="3.8209206932568502"/>
        <n v="3.397101896474668"/>
        <n v="24.448924649092916"/>
        <n v="11.835638905223821"/>
        <n v="25.654884230270916"/>
        <n v="40.055788116136831"/>
        <n v="-3.2672404754898645"/>
        <n v="31.971272916837769"/>
        <n v="22.487837940976156"/>
        <n v="41.798023337492864"/>
        <n v="13.50594129331099"/>
        <n v="30.122169214816985"/>
        <n v="30.388558099507815"/>
        <n v="1.6929435935742745"/>
        <n v="29.962821518239185"/>
        <n v="12.99388179081458"/>
        <n v="39.715722845257631"/>
        <n v="43.76904145005804"/>
        <n v="30.747113472230712"/>
        <n v="39.94577824816853"/>
        <n v="2.4635289549210668"/>
        <n v="36.104668450990737"/>
        <n v="9.5133836612214289"/>
        <n v="3.7750015791294822"/>
        <n v="35.429604404651812"/>
        <n v="-0.97147246683555"/>
        <n v="22.326926510292559"/>
        <n v="34.382062331002786"/>
        <n v="22.724012422017729"/>
        <n v="-2.4727208578310913"/>
        <n v="9.2547861827449545"/>
        <n v="34.948286154940462"/>
        <n v="1.0283831516735942"/>
        <n v="9.9434927714861967"/>
        <n v="30.027319407963297"/>
        <n v="38.75520907459039"/>
        <n v="14.177147377041187"/>
        <n v="5.4502067461383854"/>
        <n v="42.652922344739061"/>
        <n v="14.819042770827528"/>
        <n v="37.576732897234173"/>
        <n v="-4.738867421989613"/>
        <n v="13.364817517221844"/>
        <n v="11.69742889815682"/>
        <n v="40.32979151348934"/>
        <n v="32.208395490502497"/>
        <n v="7.1484944900317799"/>
        <n v="36.827749490586363"/>
        <n v="8.1889641610553561"/>
        <n v="6.0032228717696077"/>
        <n v="6.0947091284517629"/>
        <n v="43.863503200267914"/>
        <n v="15.2559522722003"/>
        <n v="-0.566968702262306"/>
        <n v="19.893151708801575"/>
        <n v="13.35958646503914"/>
        <n v="33.903866524468192"/>
        <n v="34.14527439155308"/>
        <n v="29.468939875332911"/>
        <n v="-2.9766036556781739"/>
        <n v="39.458119951540439"/>
        <n v="37.389793172127661"/>
        <n v="28.423573843768807"/>
        <n v="6.7713868136029802"/>
        <n v="33.92211265998337"/>
        <n v="17.547493464205644"/>
        <n v="39.354674974320801"/>
        <n v="4.5757111183645884"/>
        <n v="18.67423264699508"/>
        <n v="3.8539239571997106"/>
        <n v="30.282976198991307"/>
        <n v="39.976212431176101"/>
        <n v="24.748571326303932"/>
        <n v="42.733651512044652"/>
        <n v="35.858391425802907"/>
        <n v="16.88059471033284"/>
        <n v="44.973546080312239"/>
        <n v="30.832874298546187"/>
        <n v="5.1495792032054331"/>
        <n v="44.849948550384539"/>
        <n v="16.327409286848798"/>
        <m/>
      </sharedItems>
      <fieldGroup base="6">
        <rangePr autoStart="0" autoEnd="0" startNum="-5" endNum="45" groupInterval="5"/>
        <groupItems count="12">
          <s v="&lt;-5 or (blank)"/>
          <s v="-5-0"/>
          <s v="0-5"/>
          <s v="5-10"/>
          <s v="10-15"/>
          <s v="15-20"/>
          <s v="20-25"/>
          <s v="25-30"/>
          <s v="30-35"/>
          <s v="35-40"/>
          <s v="40-45"/>
          <s v="&gt;45"/>
        </groupItems>
      </fieldGroup>
    </cacheField>
    <cacheField name="Firmwave" numFmtId="0">
      <sharedItems containsBlank="1"/>
    </cacheField>
    <cacheField name="Is_Alert" numFmtId="0">
      <sharedItems containsBlank="1"/>
    </cacheField>
    <cacheField name="Is_60min_Safe" numFmtId="0">
      <sharedItems containsString="0" containsBlank="1" containsNumber="1" containsInteger="1" minValue="1" maxValue="1"/>
    </cacheField>
    <cacheField name="Sortie_75_energy_OpEx" numFmtId="0">
      <sharedItems containsString="0" containsBlank="1" containsNumber="1" minValue="143.35920480000001" maxValue="169.7800608"/>
    </cacheField>
    <cacheField name="Depreciation_OpEx" numFmtId="0">
      <sharedItems containsString="0" containsBlank="1" containsNumber="1" minValue="245.55190036696419" maxValue="291.17407024529638"/>
    </cacheField>
    <cacheField name="Total_OpEx_75" numFmtId="0">
      <sharedItems containsString="0" containsBlank="1" containsNumber="1" minValue="1593.3013119952163" maxValue="1660.8807318452964"/>
    </cacheField>
    <cacheField name="Revenue" numFmtId="0">
      <sharedItems containsString="0" containsBlank="1" containsNumber="1" minValue="1178.2189639572618" maxValue="5577.4996307964348"/>
    </cacheField>
    <cacheField name="Net_Profit_75" numFmtId="0">
      <sharedItems containsString="0" containsBlank="1" containsNumber="1" minValue="-419.42064840970238" maxValue="3916.6188989511384"/>
    </cacheField>
    <cacheField name="Margin_%_75" numFmtId="0">
      <sharedItems containsString="0" containsBlank="1" containsNumber="1" minValue="-0.3559785245698322" maxValue="0.70221768860823175"/>
    </cacheField>
    <cacheField name="Sortie_60_energy_OpEx" numFmtId="0">
      <sharedItems containsString="0" containsBlank="1" containsNumber="1" minValue="114.68736383999997" maxValue="135.82404864000003"/>
    </cacheField>
    <cacheField name="Net_Profit_60" numFmtId="0">
      <sharedItems containsString="0" containsBlank="1" containsNumber="1" minValue="-624.64689880115463" maxValue="2835.0603051118519"/>
    </cacheField>
    <cacheField name="Margin_%_60" numFmtId="0">
      <sharedItems containsString="0" containsBlank="1" containsNumber="1" minValue="-0.42412958399730044" maxValue="0.40664247319109503"/>
    </cacheField>
    <cacheField name="%_Profit_Loss_for_Safety" numFmtId="0">
      <sharedItems containsString="0" containsBlank="1" containsNumber="1" minValue="-2644.7228987563153" maxValue="35.3117029493879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inxuan Gan" refreshedDate="46114.650374999997" createdVersion="8" refreshedVersion="8" minRefreshableVersion="3" recordCount="100" xr:uid="{6A11045F-ED42-BF4D-8DBB-BD1EA8113B83}">
  <cacheSource type="worksheet">
    <worksheetSource name="Alice_Master_Analysis_View[[End_SoC]:[Profit_per_kWh]]"/>
  </cacheSource>
  <cacheFields count="19">
    <cacheField name="End_SoC" numFmtId="0">
      <sharedItems containsSemiMixedTypes="0" containsString="0" containsNumber="1" minValue="0" maxValue="15.526999999999999"/>
    </cacheField>
    <cacheField name="Avg_Burn_rate_per_min" numFmtId="0">
      <sharedItems containsSemiMixedTypes="0" containsString="0" containsNumber="1" minValue="1.1154622222222221" maxValue="1.32104"/>
    </cacheField>
    <cacheField name="Projected_SoC_60min" numFmtId="0">
      <sharedItems containsSemiMixedTypes="0" containsString="0" containsNumber="1" minValue="20.7376" maxValue="33.072266666666678"/>
    </cacheField>
    <cacheField name="Payload(lbs)" numFmtId="0">
      <sharedItems containsSemiMixedTypes="0" containsString="0" containsNumber="1" minValue="523.65287286989417" maxValue="2478.8887247984153" count="100">
        <n v="963.91134781858102"/>
        <n v="2478.8887247984153"/>
        <n v="1516.2098099583991"/>
        <n v="2293.3281163142742"/>
        <n v="2026.0389662839109"/>
        <n v="966.81298656826323"/>
        <n v="2238.6142266665197"/>
        <n v="1961.6395275356861"/>
        <n v="714.97826268347023"/>
        <n v="2168.9559645655763"/>
        <n v="830.05512493529898"/>
        <n v="1545.7350434124969"/>
        <n v="1685.6301646707304"/>
        <n v="1726.6509320393063"/>
        <n v="1675.9624596393071"/>
        <n v="2178.2789512764057"/>
        <n v="1138.5452454136066"/>
        <n v="731.53228209475117"/>
        <n v="2313.8561376333432"/>
        <n v="1566.7153945277312"/>
        <n v="1877.057989619386"/>
        <n v="2188.3387041018327"/>
        <n v="1738.6365792152469"/>
        <n v="1252.2045918659501"/>
        <n v="1018.4421534435731"/>
        <n v="844.07755819346005"/>
        <n v="2295.6860890780977"/>
        <n v="2246.9537459200228"/>
        <n v="1746.1648643194485"/>
        <n v="866.32746253844562"/>
        <n v="2319.8586679009086"/>
        <n v="752.7337366305793"/>
        <n v="837.61741023998718"/>
        <n v="1383.8868594791841"/>
        <n v="1623.5284569887992"/>
        <n v="2099.9592737981675"/>
        <n v="1989.5057846282159"/>
        <n v="718.19086046664711"/>
        <n v="874.27233718808156"/>
        <n v="1841.7838907036876"/>
        <n v="864.24989860113328"/>
        <n v="2193.23858689504"/>
        <n v="1772.8027719946456"/>
        <n v="1345.6278515577735"/>
        <n v="1497.834087705766"/>
        <n v="711.80459408069942"/>
        <n v="2335.2977883802232"/>
        <n v="1042.0295997944311"/>
        <n v="523.65287286989417"/>
        <n v="879.74193294549434"/>
        <n v="2072.0165994488748"/>
        <n v="712.04995601057556"/>
        <n v="2160.2011261691741"/>
        <n v="1659.5099419874286"/>
        <n v="2315.4858243352619"/>
        <n v="642.16001010192406"/>
        <n v="2315.0995202002964"/>
        <n v="1321.2434711517606"/>
        <n v="2126.7741487579851"/>
        <n v="1274.8199099589272"/>
        <n v="697.02747509124038"/>
        <n v="2267.0073298249195"/>
        <n v="538.20179053801326"/>
        <n v="1375.2786294074422"/>
        <n v="1246.6367090077829"/>
        <n v="1202.1852361644767"/>
        <n v="1413.2874943843708"/>
        <n v="598.40540630248267"/>
        <n v="1929.548529915068"/>
        <n v="766.64676374234261"/>
        <n v="1086.8444425334012"/>
        <n v="2416.3545562622721"/>
        <n v="2188.3936702412789"/>
        <n v="1507.0650725647658"/>
        <n v="1305.9744356666574"/>
        <n v="2339.729246215526"/>
        <n v="2300.9181846038382"/>
        <n v="1800.9230080177174"/>
        <n v="1126.9644060937735"/>
        <n v="2059.2087538594783"/>
        <n v="1677.2954300586475"/>
        <n v="742.65554479647471"/>
        <n v="766.25739787025452"/>
        <n v="1028.9324465132163"/>
        <n v="1634.7106980545964"/>
        <n v="561.54091926012302"/>
        <n v="2214.9061532687097"/>
        <n v="869.50862383998469"/>
        <n v="2078.9038239014872"/>
        <n v="2188.9085307642313"/>
        <n v="1211.4103231145884"/>
        <n v="1174.3330897361138"/>
        <n v="783.49375297221661"/>
        <n v="1713.9835501869643"/>
        <n v="1131.0521179798131"/>
        <n v="1765.1433114814756"/>
        <n v="1210.4110758812492"/>
        <n v="622.74247462911819"/>
        <n v="1470.5026563239981"/>
        <n v="1118.9791682543705"/>
      </sharedItems>
      <fieldGroup base="3">
        <rangePr autoStart="0" autoEnd="0" startNum="500" endNum="2500" groupInterval="100"/>
        <groupItems count="22">
          <s v="&lt;500"/>
          <s v="500-600"/>
          <s v="600-700"/>
          <s v="700-800"/>
          <s v="800-900"/>
          <s v="900-1000"/>
          <s v="1000-1100"/>
          <s v="1100-1200"/>
          <s v="1200-1300"/>
          <s v="1300-1400"/>
          <s v="1400-1500"/>
          <s v="1500-1600"/>
          <s v="1600-1700"/>
          <s v="1700-1800"/>
          <s v="1800-1900"/>
          <s v="1900-2000"/>
          <s v="2000-2100"/>
          <s v="2100-2200"/>
          <s v="2200-2300"/>
          <s v="2300-2400"/>
          <s v="2400-2500"/>
          <s v="&gt;2500"/>
        </groupItems>
      </fieldGroup>
    </cacheField>
    <cacheField name="Temp" numFmtId="0">
      <sharedItems containsSemiMixedTypes="0" containsString="0" containsNumber="1" minValue="-4.738867421989613" maxValue="44.973546080312239"/>
    </cacheField>
    <cacheField name="Firmwave" numFmtId="0">
      <sharedItems/>
    </cacheField>
    <cacheField name="Is_Alert" numFmtId="0">
      <sharedItems/>
    </cacheField>
    <cacheField name="Is_60min_Safe" numFmtId="0">
      <sharedItems containsSemiMixedTypes="0" containsString="0" containsNumber="1" containsInteger="1" minValue="1" maxValue="1"/>
    </cacheField>
    <cacheField name="Sortie_75_energy_OpEx" numFmtId="0">
      <sharedItems containsSemiMixedTypes="0" containsString="0" containsNumber="1" minValue="143.35920480000001" maxValue="169.7800608"/>
    </cacheField>
    <cacheField name="Depreciation_OpEx" numFmtId="0">
      <sharedItems containsSemiMixedTypes="0" containsString="0" containsNumber="1" minValue="245.55190036696419" maxValue="291.17407024529638"/>
    </cacheField>
    <cacheField name="Total_OpEx_75" numFmtId="0">
      <sharedItems containsSemiMixedTypes="0" containsString="0" containsNumber="1" minValue="1593.3013119952163" maxValue="1660.8807318452964"/>
    </cacheField>
    <cacheField name="Revenue" numFmtId="0">
      <sharedItems containsSemiMixedTypes="0" containsString="0" containsNumber="1" minValue="1178.2189639572618" maxValue="5577.4996307964348"/>
    </cacheField>
    <cacheField name="Net_Profit_75" numFmtId="0">
      <sharedItems containsSemiMixedTypes="0" containsString="0" containsNumber="1" minValue="-419.42064840970238" maxValue="3916.6188989511384"/>
    </cacheField>
    <cacheField name="Margin_%_75" numFmtId="0">
      <sharedItems containsSemiMixedTypes="0" containsString="0" containsNumber="1" minValue="-0.3559785245698322" maxValue="0.70221768860823175"/>
    </cacheField>
    <cacheField name="Sortie_60_energy_OpEx" numFmtId="0">
      <sharedItems containsSemiMixedTypes="0" containsString="0" containsNumber="1" minValue="114.68736383999997" maxValue="135.82404864000003"/>
    </cacheField>
    <cacheField name="Net_Profit_60" numFmtId="0">
      <sharedItems containsSemiMixedTypes="0" containsString="0" containsNumber="1" minValue="-624.64689880115463" maxValue="2835.0603051118519"/>
    </cacheField>
    <cacheField name="Margin_%_60" numFmtId="0">
      <sharedItems containsSemiMixedTypes="0" containsString="0" containsNumber="1" minValue="-0.42412958399730044" maxValue="0.40664247319109503"/>
    </cacheField>
    <cacheField name="%_Profit_Loss_for_Safety" numFmtId="0">
      <sharedItems containsSemiMixedTypes="0" containsString="0" containsNumber="1" minValue="-2644.7228987563153" maxValue="35.311702949387957"/>
    </cacheField>
    <cacheField name="Profit_per_kWh" numFmtId="0">
      <sharedItems containsSemiMixedTypes="0" containsString="0" containsNumber="1" minValue="-59.82308990997312" maxValue="243.327833986083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FL-00001"/>
    <n v="99.137999999999991"/>
    <n v="10.536333333333333"/>
    <x v="0"/>
    <n v="29.11866666666667"/>
    <x v="0"/>
    <n v="38.328564788085622"/>
    <x v="0"/>
    <s v="True"/>
    <n v="1"/>
    <n v="151.82781599999998"/>
    <n v="255.82459811576689"/>
    <n v="1607.652414115767"/>
    <n v="2168.8005325918075"/>
    <n v="561.14811847604051"/>
    <n v="0.2587366196399099"/>
    <n v="121.4622528"/>
    <n v="157.75357515767905"/>
    <n v="5.819016466918954E-2"/>
    <n v="71.887355590516037"/>
  </r>
  <r>
    <s v="FL-00002"/>
    <n v="99.035166666666655"/>
    <n v="0"/>
    <x v="1"/>
    <n v="20.771866666666682"/>
    <x v="1"/>
    <n v="8.1998755083305337"/>
    <x v="0"/>
    <s v="True"/>
    <n v="1"/>
    <n v="169.70666159999996"/>
    <n v="291.17407024529638"/>
    <n v="1660.8807318452964"/>
    <n v="5577.4996307964348"/>
    <n v="3916.6188989511384"/>
    <n v="0.70221768860823175"/>
    <n v="135.76532927999997"/>
    <n v="2835.0603051118519"/>
    <n v="0.40664247319109503"/>
    <n v="27.614598758355719"/>
  </r>
  <r>
    <s v="FL-00003"/>
    <n v="99.085000000000008"/>
    <n v="0.7"/>
    <x v="2"/>
    <n v="21.292000000000002"/>
    <x v="2"/>
    <n v="44.750618004282707"/>
    <x v="1"/>
    <s v="True"/>
    <n v="1"/>
    <n v="168.59253600000002"/>
    <n v="268.71156223236267"/>
    <n v="1637.3040982323628"/>
    <n v="3411.4720724063982"/>
    <n v="1774.1679741740354"/>
    <n v="0.52005935752027588"/>
    <n v="134.87402880000002"/>
    <n v="1125.5920668927561"/>
    <n v="0.26395457280675466"/>
    <n v="36.556623539731298"/>
  </r>
  <r>
    <s v="FL-00004"/>
    <n v="99.038166666666669"/>
    <n v="0"/>
    <x v="3"/>
    <n v="20.769466666666659"/>
    <x v="3"/>
    <n v="44.454489569557552"/>
    <x v="1"/>
    <s v="True"/>
    <n v="1"/>
    <n v="169.71180240000001"/>
    <n v="286.84432271399976"/>
    <n v="1656.5561251139998"/>
    <n v="5159.9882617071171"/>
    <n v="3503.4321365931173"/>
    <n v="0.67896126093784004"/>
    <n v="135.76944192000002"/>
    <n v="2505.3768447316938"/>
    <n v="0.38843140219126338"/>
    <n v="28.487929919829241"/>
  </r>
  <r>
    <s v="FL-00005"/>
    <n v="99.030833333333334"/>
    <n v="0"/>
    <x v="4"/>
    <n v="20.775333333333322"/>
    <x v="4"/>
    <n v="-2.2340356766006275"/>
    <x v="0"/>
    <s v="True"/>
    <n v="1"/>
    <n v="169.69923599999998"/>
    <n v="280.60757587995795"/>
    <n v="1650.3068118799579"/>
    <n v="4558.5876741387992"/>
    <n v="2908.2808622588414"/>
    <n v="0.63797848591521689"/>
    <n v="135.75938880000004"/>
    <n v="2030.503174631081"/>
    <n v="0.35633899264902136"/>
    <n v="30.182012302140464"/>
  </r>
  <r>
    <s v="FL-00006"/>
    <n v="99.166666666666671"/>
    <n v="12.705500000000001"/>
    <x v="5"/>
    <n v="30.831066666666658"/>
    <x v="5"/>
    <n v="21.116246305405681"/>
    <x v="0"/>
    <s v="True"/>
    <n v="1"/>
    <n v="148.15985520000001"/>
    <n v="255.89230301992617"/>
    <n v="1604.0521582199262"/>
    <n v="2175.3292197785922"/>
    <n v="571.27706155866599"/>
    <n v="0.26261636922102821"/>
    <n v="118.52788416000003"/>
    <n v="165.84318864294755"/>
    <n v="6.0990561662138593E-2"/>
    <n v="70.969744839664514"/>
  </r>
  <r>
    <s v="FL-00007"/>
    <n v="99.096333333333334"/>
    <n v="10.777666666666667"/>
    <x v="6"/>
    <n v="29.345066666666668"/>
    <x v="6"/>
    <n v="23.531614105382953"/>
    <x v="0"/>
    <s v="True"/>
    <n v="1"/>
    <n v="151.3428672"/>
    <n v="285.56766528888545"/>
    <n v="1636.9105324888856"/>
    <n v="5036.8820099996692"/>
    <n v="3399.9714775107836"/>
    <n v="0.675015112675035"/>
    <n v="121.07429376000002"/>
    <n v="2422.8636489508503"/>
    <n v="0.38481959976680247"/>
    <n v="28.738706633953935"/>
  </r>
  <r>
    <s v="FL-00008"/>
    <n v="99.116"/>
    <n v="10.3055"/>
    <x v="7"/>
    <n v="28.951599999999999"/>
    <x v="7"/>
    <n v="24.384000097013381"/>
    <x v="0"/>
    <s v="True"/>
    <n v="1"/>
    <n v="152.18567280000002"/>
    <n v="279.104922309166"/>
    <n v="1631.2905951091661"/>
    <n v="4413.6889369552937"/>
    <n v="2782.3983418461276"/>
    <n v="0.63040200195111995"/>
    <n v="121.74853824"/>
    <n v="1930.0976890150691"/>
    <n v="0.34983846239903138"/>
    <n v="30.631870354895156"/>
  </r>
  <r>
    <s v="FL-00009"/>
    <n v="99.18"/>
    <n v="14.660833333333333"/>
    <x v="8"/>
    <n v="32.384666666666661"/>
    <x v="8"/>
    <n v="29.54708405099862"/>
    <x v="0"/>
    <s v="True"/>
    <n v="1"/>
    <n v="144.83204400000005"/>
    <n v="250.0161594626143"/>
    <n v="1594.8482034626145"/>
    <n v="1608.7010910378081"/>
    <n v="13.852887575193563"/>
    <n v="8.6112253248095735E-3"/>
    <n v="115.86563520000003"/>
    <n v="-278.92092183236787"/>
    <n v="-0.13870615163314395"/>
    <n v="2113.4496892318175"/>
  </r>
  <r>
    <s v="FL-00010"/>
    <n v="99.05083333333333"/>
    <n v="0"/>
    <x v="9"/>
    <n v="20.759333333333331"/>
    <x v="9"/>
    <n v="7.1478090448323144"/>
    <x v="0"/>
    <s v="True"/>
    <n v="1"/>
    <n v="169.73350800000003"/>
    <n v="283.94230583986342"/>
    <n v="1653.6758138398634"/>
    <n v="4880.1509202725465"/>
    <n v="3226.4751064326829"/>
    <n v="0.66114248496488937"/>
    <n v="135.78680640000002"/>
    <n v="2284.3916239781743"/>
    <n v="0.37447884892061423"/>
    <n v="29.198535596207126"/>
  </r>
  <r>
    <s v="FL-00011"/>
    <n v="99.180999999999997"/>
    <n v="14.781666666666666"/>
    <x v="10"/>
    <n v="32.480533333333341"/>
    <x v="10"/>
    <n v="23.024756051742649"/>
    <x v="1"/>
    <s v="True"/>
    <n v="1"/>
    <n v="144.6266976"/>
    <n v="252.70128624849031"/>
    <n v="1597.3279838484902"/>
    <n v="1867.6240311044228"/>
    <n v="270.29604725593254"/>
    <n v="0.14472722708332925"/>
    <n v="115.70135807999999"/>
    <n v="-74.303419444951942"/>
    <n v="-3.1827998872347982E-2"/>
    <n v="127.48964337410268"/>
  </r>
  <r>
    <s v="FL-00012"/>
    <n v="99.06"/>
    <n v="0"/>
    <x v="11"/>
    <n v="20.751999999999995"/>
    <x v="11"/>
    <n v="-2.3371035101502411"/>
    <x v="0"/>
    <s v="True"/>
    <n v="1"/>
    <n v="169.74921600000002"/>
    <n v="269.40048434629159"/>
    <n v="1639.1497003462916"/>
    <n v="3477.9038476781179"/>
    <n v="1838.7541473318263"/>
    <n v="0.52869608472913832"/>
    <n v="135.79937280000001"/>
    <n v="1177.1232209962025"/>
    <n v="0.27076613329193933"/>
    <n v="35.982566092139137"/>
  </r>
  <r>
    <s v="FL-00013"/>
    <n v="99.085000000000008"/>
    <n v="0.57233333333333336"/>
    <x v="12"/>
    <n v="21.18986666666666"/>
    <x v="12"/>
    <n v="41.647991704923697"/>
    <x v="0"/>
    <s v="True"/>
    <n v="1"/>
    <n v="168.81130560000003"/>
    <n v="272.66470384231707"/>
    <n v="1641.476009442317"/>
    <n v="3792.6678705091435"/>
    <n v="2151.1918610668263"/>
    <n v="0.5671975333759034"/>
    <n v="135.04904448000002"/>
    <n v="1426.4205480849976"/>
    <n v="0.3008796123017245"/>
    <n v="33.691616545183365"/>
  </r>
  <r>
    <s v="FL-00014"/>
    <n v="99.100833333333341"/>
    <n v="10.536166666666666"/>
    <x v="13"/>
    <n v="29.148266666666657"/>
    <x v="13"/>
    <n v="35.292584402213102"/>
    <x v="0"/>
    <s v="True"/>
    <n v="1"/>
    <n v="151.76441280000006"/>
    <n v="273.62185508091716"/>
    <n v="1625.3862678809173"/>
    <n v="3884.9645970884394"/>
    <n v="2259.5783292075221"/>
    <n v="0.58162134370566665"/>
    <n v="121.41153024000003"/>
    <n v="1512.9382923498342"/>
    <n v="0.31154740374904744"/>
    <n v="33.043334997797977"/>
  </r>
  <r>
    <s v="FL-00015"/>
    <n v="99.114666666666665"/>
    <n v="10.132166666666667"/>
    <x v="14"/>
    <n v="28.813999999999993"/>
    <x v="14"/>
    <n v="18.243523388153253"/>
    <x v="0"/>
    <s v="True"/>
    <n v="1"/>
    <n v="152.48041199999997"/>
    <n v="272.43912405825051"/>
    <n v="1624.9195360582505"/>
    <n v="3770.9155341884411"/>
    <n v="2145.9959981301909"/>
    <n v="0.56909150541130915"/>
    <n v="121.98432960000001"/>
    <n v="1422.3089736925024"/>
    <n v="0.30174295038907156"/>
    <n v="33.722664211314367"/>
  </r>
  <r>
    <s v="FL-00016"/>
    <n v="99.087999999999994"/>
    <n v="1.2598333333333334"/>
    <x v="15"/>
    <n v="21.737466666666677"/>
    <x v="15"/>
    <n v="19.742995365804195"/>
    <x v="1"/>
    <s v="True"/>
    <n v="1"/>
    <n v="167.63834639999999"/>
    <n v="284.15984219644952"/>
    <n v="1651.7981885964496"/>
    <n v="4901.127640371913"/>
    <n v="3249.3294517754634"/>
    <n v="0.66297588844858035"/>
    <n v="134.11067712000002"/>
    <n v="2302.6315929810808"/>
    <n v="0.37585335652369989"/>
    <n v="29.135176129250244"/>
  </r>
  <r>
    <s v="FL-00017"/>
    <n v="99.167333333333332"/>
    <n v="12.788166666666665"/>
    <x v="16"/>
    <n v="30.896666666666675"/>
    <x v="16"/>
    <n v="24.735304622695747"/>
    <x v="0"/>
    <s v="True"/>
    <n v="1"/>
    <n v="148.01934"/>
    <n v="259.89938905965084"/>
    <n v="1607.9187290596508"/>
    <n v="2561.7268021806149"/>
    <n v="953.80807312096408"/>
    <n v="0.37233012993776521"/>
    <n v="118.41547200000001"/>
    <n v="471.06658068484103"/>
    <n v="0.14710907666933279"/>
    <n v="50.61201577551553"/>
  </r>
  <r>
    <s v="FL-00018"/>
    <n v="99.127499999999998"/>
    <n v="10.427166666666666"/>
    <x v="17"/>
    <n v="29.039733333333345"/>
    <x v="17"/>
    <n v="3.522445636344206"/>
    <x v="0"/>
    <s v="True"/>
    <n v="1"/>
    <n v="151.99689120000002"/>
    <n v="250.40241991554421"/>
    <n v="1602.3993111155442"/>
    <n v="1645.9476347131902"/>
    <n v="43.548323597646004"/>
    <n v="2.6457903446748712E-2"/>
    <n v="121.59751296"/>
    <n v="-255.24182510499213"/>
    <n v="-0.12405829673893293"/>
    <n v="686.11171227447471"/>
  </r>
  <r>
    <s v="FL-00019"/>
    <n v="99.092166666666657"/>
    <n v="1.887"/>
    <x v="18"/>
    <n v="22.235866666666681"/>
    <x v="18"/>
    <n v="23.85749221573915"/>
    <x v="0"/>
    <s v="True"/>
    <n v="1"/>
    <n v="166.5707736"/>
    <n v="287.32330987811133"/>
    <n v="1653.8940834781113"/>
    <n v="5206.1763096750219"/>
    <n v="3552.2822261969104"/>
    <n v="0.68232076958197552"/>
    <n v="133.25661887999999"/>
    <n v="2544.3611189819067"/>
    <n v="0.39097578992913207"/>
    <n v="28.373902832998958"/>
  </r>
  <r>
    <s v="FL-00020"/>
    <n v="99.078000000000003"/>
    <n v="0"/>
    <x v="19"/>
    <n v="20.7376"/>
    <x v="19"/>
    <n v="3.8209206932568502"/>
    <x v="1"/>
    <s v="True"/>
    <n v="1"/>
    <n v="169.7800608"/>
    <n v="269.89002587231374"/>
    <n v="1639.6700866723138"/>
    <n v="3525.1096376873952"/>
    <n v="1885.4395510150814"/>
    <n v="0.53485983268650927"/>
    <n v="135.82404864000003"/>
    <n v="1214.3736356376021"/>
    <n v="0.27559395546840965"/>
    <n v="35.59201434043279"/>
  </r>
  <r>
    <s v="FL-00021"/>
    <n v="99.05749999999999"/>
    <n v="0"/>
    <x v="20"/>
    <n v="20.754000000000005"/>
    <x v="20"/>
    <n v="3.397101896474668"/>
    <x v="1"/>
    <s v="True"/>
    <n v="1"/>
    <n v="169.74493199999998"/>
    <n v="277.13135309111902"/>
    <n v="1646.8762850911189"/>
    <n v="4223.3804766436187"/>
    <n v="2576.5041915524998"/>
    <n v="0.61005732393783396"/>
    <n v="135.79594559999998"/>
    <n v="1765.7770826237759"/>
    <n v="0.33447653459383597"/>
    <n v="31.466166893375469"/>
  </r>
  <r>
    <s v="FL-00022"/>
    <n v="99.102166666666662"/>
    <n v="10.732833333333334"/>
    <x v="21"/>
    <n v="29.304533333333339"/>
    <x v="21"/>
    <n v="24.448924649092916"/>
    <x v="0"/>
    <s v="True"/>
    <n v="1"/>
    <n v="151.42968959999999"/>
    <n v="284.39456976237614"/>
    <n v="1635.8242593623761"/>
    <n v="4923.7620842291235"/>
    <n v="3287.9378248667472"/>
    <n v="0.66776943496072982"/>
    <n v="121.14375168000001"/>
    <n v="2333.4713459409231"/>
    <n v="0.37913632803909247"/>
    <n v="29.029334791770477"/>
  </r>
  <r>
    <s v="FL-00023"/>
    <n v="99.090999999999994"/>
    <n v="1.6556666666666666"/>
    <x v="22"/>
    <n v="22.051733333333331"/>
    <x v="22"/>
    <n v="11.835638905223821"/>
    <x v="1"/>
    <s v="True"/>
    <n v="1"/>
    <n v="166.9651872"/>
    <n v="273.90152018168908"/>
    <n v="1640.8667073816891"/>
    <n v="3911.9323032343054"/>
    <n v="2271.0655958526163"/>
    <n v="0.58054828657820734"/>
    <n v="133.57214976"/>
    <n v="1522.072172645755"/>
    <n v="0.31126758944930355"/>
    <n v="32.979823417459237"/>
  </r>
  <r>
    <s v="FL-00024"/>
    <n v="99.159000000000006"/>
    <n v="11.597666666666667"/>
    <x v="23"/>
    <n v="29.950933333333325"/>
    <x v="23"/>
    <n v="25.654884230270916"/>
    <x v="0"/>
    <s v="True"/>
    <n v="1"/>
    <n v="150.04510080000003"/>
    <n v="262.55144047687219"/>
    <n v="1612.5965412768724"/>
    <n v="2817.4603316983876"/>
    <n v="1204.8637904215152"/>
    <n v="0.42764179387583912"/>
    <n v="120.03608064000002"/>
    <n v="671.38074424183787"/>
    <n v="0.19063430613402796"/>
    <n v="44.277456955780963"/>
  </r>
  <r>
    <s v="FL-00025"/>
    <n v="99.129333333333335"/>
    <n v="10.019666666666666"/>
    <x v="24"/>
    <n v="28.712266666666665"/>
    <x v="24"/>
    <n v="40.055788116136831"/>
    <x v="1"/>
    <s v="True"/>
    <n v="1"/>
    <n v="152.69832479999999"/>
    <n v="257.09698358035007"/>
    <n v="1609.79530838035"/>
    <n v="2291.4948452480394"/>
    <n v="681.6995368676894"/>
    <n v="0.29749119369888866"/>
    <n v="122.15865984000001"/>
    <n v="253.94023277808128"/>
    <n v="8.8654873757953029E-2"/>
    <n v="62.748950374104716"/>
  </r>
  <r>
    <s v="FL-00026"/>
    <n v="99.099833333333336"/>
    <n v="10.411"/>
    <x v="25"/>
    <n v="29.048933333333338"/>
    <x v="25"/>
    <n v="-3.2672404754898645"/>
    <x v="1"/>
    <s v="True"/>
    <n v="1"/>
    <n v="151.97718480000003"/>
    <n v="253.02847635784738"/>
    <n v="1605.0056611578475"/>
    <n v="1899.1745059352852"/>
    <n v="294.1688447774377"/>
    <n v="0.15489300422794405"/>
    <n v="121.58174784000001"/>
    <n v="-55.270619449619062"/>
    <n v="-2.3281955092336281E-2"/>
    <n v="118.78874001474755"/>
  </r>
  <r>
    <s v="FL-00027"/>
    <n v="99.076333333333338"/>
    <n v="0"/>
    <x v="26"/>
    <n v="20.738933333333335"/>
    <x v="26"/>
    <n v="31.971272916837769"/>
    <x v="0"/>
    <s v="True"/>
    <n v="1"/>
    <n v="169.77720479999999"/>
    <n v="286.89934207848893"/>
    <n v="1656.6765468784888"/>
    <n v="5165.2937004257201"/>
    <n v="3508.6171535472313"/>
    <n v="0.67926769648317453"/>
    <n v="135.82176384000002"/>
    <n v="2509.5138544220863"/>
    <n v="0.38867317135755575"/>
    <n v="28.475700123481584"/>
  </r>
  <r>
    <s v="FL-00028"/>
    <n v="99.092166666666657"/>
    <n v="1.873"/>
    <x v="27"/>
    <n v="22.224666666666678"/>
    <x v="27"/>
    <n v="22.487837940976156"/>
    <x v="0"/>
    <s v="True"/>
    <n v="1"/>
    <n v="166.594764"/>
    <n v="285.76225407146723"/>
    <n v="1652.3570180714673"/>
    <n v="5055.6459283200511"/>
    <n v="3403.2889102485838"/>
    <n v="0.67316599273388356"/>
    <n v="133.27581119999999"/>
    <n v="2425.4786773845735"/>
    <n v="0.38380514961268897"/>
    <n v="28.731331916002066"/>
  </r>
  <r>
    <s v="FL-00029"/>
    <n v="99.079833333333326"/>
    <n v="8.1499999999999989E-2"/>
    <x v="28"/>
    <n v="20.801333333333332"/>
    <x v="28"/>
    <n v="41.798023337492864"/>
    <x v="0"/>
    <s v="True"/>
    <n v="1"/>
    <n v="169.64354399999999"/>
    <n v="274.07718016745383"/>
    <n v="1643.7207241674537"/>
    <n v="3928.8709447187593"/>
    <n v="2285.1502205513057"/>
    <n v="0.58163025782840616"/>
    <n v="135.71483520000001"/>
    <n v="1533.3047404075539"/>
    <n v="0.3122127984312934"/>
    <n v="32.901359104626593"/>
  </r>
  <r>
    <s v="FL-00030"/>
    <n v="99.149500000000003"/>
    <n v="10.201666666666666"/>
    <x v="29"/>
    <n v="28.841733333333337"/>
    <x v="29"/>
    <n v="13.50594129331099"/>
    <x v="1"/>
    <s v="True"/>
    <n v="1"/>
    <n v="152.42100719999999"/>
    <n v="253.54764079256373"/>
    <n v="1605.9686479925638"/>
    <n v="1949.2367907115026"/>
    <n v="343.26814271893886"/>
    <n v="0.17610387016840601"/>
    <n v="121.93680575999998"/>
    <n v="-16.095013983361696"/>
    <n v="-6.6056680481540704E-3"/>
    <n v="104.68875843120111"/>
  </r>
  <r>
    <s v="FL-00031"/>
    <n v="99.080333333333328"/>
    <n v="0.1275"/>
    <x v="30"/>
    <n v="20.837733333333333"/>
    <x v="30"/>
    <n v="30.122169214816985"/>
    <x v="0"/>
    <s v="True"/>
    <n v="1"/>
    <n v="169.56557520000004"/>
    <n v="287.46336891768789"/>
    <n v="1657.0289441176878"/>
    <n v="5219.6820027770445"/>
    <n v="3562.6530586593567"/>
    <n v="0.68254216574187976"/>
    <n v="135.65246016"/>
    <n v="2552.6297731439477"/>
    <n v="0.39123146150066057"/>
    <n v="28.350312783347071"/>
  </r>
  <r>
    <s v="FL-00032"/>
    <n v="99.175166666666669"/>
    <n v="13.945"/>
    <x v="31"/>
    <n v="31.815866666666679"/>
    <x v="31"/>
    <n v="30.388558099507815"/>
    <x v="0"/>
    <s v="True"/>
    <n v="1"/>
    <n v="146.05041360000001"/>
    <n v="250.8971205213802"/>
    <n v="1596.9475341213802"/>
    <n v="1693.6509074188034"/>
    <n v="96.703373297423241"/>
    <n v="5.709758302246791E-2"/>
    <n v="116.84033087999997"/>
    <n v="-212.8167254663374"/>
    <n v="-0.10052448212751433"/>
    <n v="320.07166679883352"/>
  </r>
  <r>
    <s v="FL-00033"/>
    <n v="99.114999999999995"/>
    <n v="10.220000000000001"/>
    <x v="32"/>
    <n v="28.884"/>
    <x v="32"/>
    <n v="1.6929435935742745"/>
    <x v="1"/>
    <s v="True"/>
    <n v="1"/>
    <n v="152.33047199999999"/>
    <n v="252.87773957226639"/>
    <n v="1605.2082115722665"/>
    <n v="1884.6391730399712"/>
    <n v="279.43096146770472"/>
    <n v="0.14826761826083421"/>
    <n v="121.86437760000001"/>
    <n v="-67.030778740289179"/>
    <n v="-2.8453522435137258E-2"/>
    <n v="123.9883148195932"/>
  </r>
  <r>
    <s v="FL-00034"/>
    <n v="99.137999999999991"/>
    <n v="10.521333333333333"/>
    <x v="33"/>
    <n v="29.106666666666669"/>
    <x v="33"/>
    <n v="29.962821518239185"/>
    <x v="0"/>
    <s v="True"/>
    <n v="1"/>
    <n v="151.85352"/>
    <n v="265.624026721181"/>
    <n v="1617.4775467211809"/>
    <n v="3113.7454338281641"/>
    <n v="1496.2678871069832"/>
    <n v="0.48053635690680441"/>
    <n v="121.48281600000001"/>
    <n v="903.88950434135018"/>
    <n v="0.232232087959759"/>
    <n v="39.590396069449156"/>
  </r>
  <r>
    <s v="FL-00035"/>
    <n v="99.101500000000001"/>
    <n v="10.671333333333333"/>
    <x v="34"/>
    <n v="29.255866666666662"/>
    <x v="34"/>
    <n v="12.99388179081458"/>
    <x v="0"/>
    <s v="True"/>
    <n v="1"/>
    <n v="151.53393360000001"/>
    <n v="271.21566399640534"/>
    <n v="1622.7495975964052"/>
    <n v="3652.9390282247982"/>
    <n v="2030.189430628393"/>
    <n v="0.55576877000736435"/>
    <n v="121.22714688000001"/>
    <n v="1329.9084117034331"/>
    <n v="0.29125225500404206"/>
    <n v="34.493383147414278"/>
  </r>
  <r>
    <s v="FL-00036"/>
    <n v="99.064666666666668"/>
    <n v="0"/>
    <x v="35"/>
    <n v="20.748266666666666"/>
    <x v="35"/>
    <n v="39.715722845257631"/>
    <x v="1"/>
    <s v="True"/>
    <n v="1"/>
    <n v="169.75721280000002"/>
    <n v="282.33238305529056"/>
    <n v="1652.0895958552906"/>
    <n v="4724.9083660458764"/>
    <n v="3072.8187701905858"/>
    <n v="0.65034462726779374"/>
    <n v="135.80577024000002"/>
    <n v="2161.788539541411"/>
    <n v="0.36602420568855049"/>
    <n v="29.648029994058838"/>
  </r>
  <r>
    <s v="FL-00037"/>
    <n v="99.058833333333325"/>
    <n v="0"/>
    <x v="36"/>
    <n v="20.752933333333345"/>
    <x v="36"/>
    <n v="43.76904145005804"/>
    <x v="0"/>
    <s v="True"/>
    <n v="1"/>
    <n v="169.74721680000002"/>
    <n v="279.7551349746584"/>
    <n v="1649.5023517746586"/>
    <n v="4476.3880154134858"/>
    <n v="2826.8856636388273"/>
    <n v="0.63151041730633051"/>
    <n v="135.79777343999999"/>
    <n v="1965.5575039161304"/>
    <n v="0.35127562617863384"/>
    <n v="30.469154476307224"/>
  </r>
  <r>
    <s v="FL-00038"/>
    <n v="99.176000000000002"/>
    <n v="14.095000000000001"/>
    <x v="37"/>
    <n v="31.935200000000009"/>
    <x v="37"/>
    <n v="30.747113472230712"/>
    <x v="0"/>
    <s v="True"/>
    <n v="1"/>
    <n v="145.79480160000003"/>
    <n v="250.09112007755513"/>
    <n v="1595.8859216775552"/>
    <n v="1615.9294360499559"/>
    <n v="20.04351437240075"/>
    <n v="1.2403706452303967E-2"/>
    <n v="116.63584127999999"/>
    <n v="-273.9834125175903"/>
    <n v="-0.13564127561774061"/>
    <n v="1466.942979295369"/>
  </r>
  <r>
    <s v="FL-00039"/>
    <n v="99.138666666666666"/>
    <n v="10.611166666666666"/>
    <x v="38"/>
    <n v="29.177999999999997"/>
    <x v="38"/>
    <n v="39.94577824816853"/>
    <x v="1"/>
    <s v="True"/>
    <n v="1"/>
    <n v="151.70072400000001"/>
    <n v="253.73302120105527"/>
    <n v="1605.4337452010552"/>
    <n v="1967.1127586731836"/>
    <n v="361.67901347212842"/>
    <n v="0.18386287815858643"/>
    <n v="121.36057920000002"/>
    <n v="-1.4033934625083475"/>
    <n v="-5.7074245747048506E-4"/>
    <n v="100.38802181222397"/>
  </r>
  <r>
    <s v="FL-00040"/>
    <n v="99.056666666666658"/>
    <n v="0"/>
    <x v="39"/>
    <n v="20.754666666666679"/>
    <x v="39"/>
    <n v="2.4635289549210668"/>
    <x v="0"/>
    <s v="True"/>
    <n v="1"/>
    <n v="169.743504"/>
    <n v="276.30829078308608"/>
    <n v="1646.0517947830861"/>
    <n v="4144.0137540832966"/>
    <n v="2497.9619593002108"/>
    <n v="0.60278804741872505"/>
    <n v="135.79480319999999"/>
    <n v="1703.1079092835512"/>
    <n v="0.32878421942598951"/>
    <n v="31.820102266062261"/>
  </r>
  <r>
    <s v="FL-00041"/>
    <n v="99.150999999999996"/>
    <n v="10.394166666666667"/>
    <x v="40"/>
    <n v="28.994533333333337"/>
    <x v="40"/>
    <n v="36.104668450990737"/>
    <x v="1"/>
    <s v="True"/>
    <n v="1"/>
    <n v="152.09370960000001"/>
    <n v="253.49916430069311"/>
    <n v="1605.5928739006931"/>
    <n v="1944.5622718525499"/>
    <n v="338.96939795185676"/>
    <n v="0.17431655589456985"/>
    <n v="121.67496768000001"/>
    <n v="-19.524314498653212"/>
    <n v="-8.0323740849102231E-3"/>
    <n v="105.75990476326899"/>
  </r>
  <r>
    <s v="FL-00042"/>
    <n v="99.056666666666658"/>
    <n v="0"/>
    <x v="39"/>
    <n v="20.754666666666679"/>
    <x v="41"/>
    <n v="9.5133836612214289"/>
    <x v="0"/>
    <s v="True"/>
    <n v="1"/>
    <n v="169.743504"/>
    <n v="284.5089003608843"/>
    <n v="1654.2524043608842"/>
    <n v="4934.7868205138402"/>
    <n v="3280.5344161529561"/>
    <n v="0.66477733192360411"/>
    <n v="135.79480319999999"/>
    <n v="2327.5257528501879"/>
    <n v="0.37732543876865293"/>
    <n v="29.050408939783356"/>
  </r>
  <r>
    <s v="FL-00043"/>
    <n v="99.064666666666668"/>
    <n v="0"/>
    <x v="35"/>
    <n v="20.748266666666666"/>
    <x v="42"/>
    <n v="3.7750015791294822"/>
    <x v="0"/>
    <s v="True"/>
    <n v="1"/>
    <n v="169.75721280000002"/>
    <n v="274.69873134654176"/>
    <n v="1644.4559441465417"/>
    <n v="3988.8062369879526"/>
    <n v="2344.3502928414109"/>
    <n v="0.58773230725082515"/>
    <n v="135.80577024000002"/>
    <n v="1580.5404880038204"/>
    <n v="0.31699518985857306"/>
    <n v="32.580873565265456"/>
  </r>
  <r>
    <s v="FL-00044"/>
    <n v="99.123666666666665"/>
    <n v="10.6165"/>
    <x v="41"/>
    <n v="29.194266666666678"/>
    <x v="43"/>
    <n v="35.429604404651812"/>
    <x v="0"/>
    <s v="True"/>
    <n v="1"/>
    <n v="151.6658808"/>
    <n v="264.73131653634806"/>
    <n v="1616.3971973363482"/>
    <n v="3027.6626660049906"/>
    <n v="1411.2654686686424"/>
    <n v="0.46612374770628301"/>
    <n v="121.33270463999999"/>
    <n v="836.06611162764466"/>
    <n v="0.22091394025235611"/>
    <n v="40.757700787763802"/>
  </r>
  <r>
    <s v="FL-00045"/>
    <n v="99.067333333333337"/>
    <n v="0"/>
    <x v="42"/>
    <n v="20.746133333333333"/>
    <x v="44"/>
    <n v="-0.97147246683555"/>
    <x v="0"/>
    <s v="True"/>
    <n v="1"/>
    <n v="169.76178240000004"/>
    <n v="268.28279537980126"/>
    <n v="1638.0445777798013"/>
    <n v="3370.1266973379734"/>
    <n v="1732.0821195581721"/>
    <n v="0.5139516330131817"/>
    <n v="135.80942592"/>
    <n v="1092.0091365705775"/>
    <n v="0.25922090998730551"/>
    <n v="36.953962849686796"/>
  </r>
  <r>
    <s v="FL-00046"/>
    <n v="99.186666666666667"/>
    <n v="15.526999999999999"/>
    <x v="43"/>
    <n v="33.072266666666678"/>
    <x v="45"/>
    <n v="22.326926510292559"/>
    <x v="0"/>
    <s v="True"/>
    <n v="1"/>
    <n v="143.35920480000001"/>
    <n v="249.94210719521629"/>
    <n v="1593.3013119952163"/>
    <n v="1601.5603366815737"/>
    <n v="8.2590246863574066"/>
    <n v="5.1568614039668786E-3"/>
    <n v="114.68736383999997"/>
    <n v="-283.38120168995738"/>
    <n v="-0.14155255731526023"/>
    <n v="3531.1702949387959"/>
  </r>
  <r>
    <s v="FL-00047"/>
    <n v="99.066666666666663"/>
    <n v="0"/>
    <x v="44"/>
    <n v="20.74666666666667"/>
    <x v="46"/>
    <n v="34.382062331002786"/>
    <x v="0"/>
    <s v="True"/>
    <n v="1"/>
    <n v="169.76064"/>
    <n v="287.82361506220525"/>
    <n v="1657.5842550622051"/>
    <n v="5254.4200238555022"/>
    <n v="3596.8357687932971"/>
    <n v="0.68453525840404172"/>
    <n v="135.80851200000001"/>
    <n v="2579.903892022196"/>
    <n v="0.3927975122368168"/>
    <n v="28.272958292790545"/>
  </r>
  <r>
    <s v="FL-00048"/>
    <n v="99.167000000000002"/>
    <n v="12.7515"/>
    <x v="45"/>
    <n v="30.867599999999996"/>
    <x v="47"/>
    <n v="22.724012422017729"/>
    <x v="0"/>
    <s v="True"/>
    <n v="1"/>
    <n v="148.08160080000005"/>
    <n v="257.64735732853677"/>
    <n v="1605.7289581285368"/>
    <n v="2344.5665995374698"/>
    <n v="738.837641408933"/>
    <n v="0.31512759823273478"/>
    <n v="118.46528064"/>
    <n v="299.54064166143894"/>
    <n v="0.10220759494587413"/>
    <n v="59.457853136688158"/>
  </r>
  <r>
    <s v="FL-00049"/>
    <n v="99.12166666666667"/>
    <n v="10.368333333333334"/>
    <x v="46"/>
    <n v="28.997333333333344"/>
    <x v="48"/>
    <n v="-2.4727208578310913"/>
    <x v="0"/>
    <s v="True"/>
    <n v="1"/>
    <n v="152.08771200000001"/>
    <n v="245.55190036696419"/>
    <n v="1597.6396123669642"/>
    <n v="1178.2189639572618"/>
    <n v="-419.42064840970238"/>
    <n v="-0.3559785245698322"/>
    <n v="121.67016959999999"/>
    <n v="-624.64689880115463"/>
    <n v="-0.42412958399730044"/>
    <n v="-48.930888636408106"/>
  </r>
  <r>
    <s v="FL-00050"/>
    <n v="99.135000000000005"/>
    <n v="10.221666666666666"/>
    <x v="47"/>
    <n v="28.86933333333333"/>
    <x v="49"/>
    <n v="9.2547861827449545"/>
    <x v="0"/>
    <s v="True"/>
    <n v="1"/>
    <n v="152.36188800000005"/>
    <n v="253.86064510206157"/>
    <n v="1606.2225331020616"/>
    <n v="1979.4193491273622"/>
    <n v="373.19681602530068"/>
    <n v="0.18853853085240704"/>
    <n v="121.88951040000001"/>
    <n v="7.7853237998281202"/>
    <n v="3.1465081123958185E-3"/>
    <n v="97.913882577363594"/>
  </r>
  <r>
    <s v="FL-00051"/>
    <n v="99.080999999999989"/>
    <n v="0.16283333333333333"/>
    <x v="48"/>
    <n v="20.865466666666677"/>
    <x v="50"/>
    <n v="34.948286154940462"/>
    <x v="0"/>
    <s v="True"/>
    <n v="1"/>
    <n v="169.5061704"/>
    <n v="281.68038732047376"/>
    <n v="1651.1865577204737"/>
    <n v="4662.0373487599682"/>
    <n v="3010.8507910394947"/>
    <n v="0.64582296661358485"/>
    <n v="135.60493631999998"/>
    <n v="2112.344555367501"/>
    <n v="0.36247578427132987"/>
    <n v="29.842270442162455"/>
  </r>
  <r>
    <s v="FL-00052"/>
    <n v="99.120833333333337"/>
    <n v="10.258666666666667"/>
    <x v="49"/>
    <n v="28.910266666666658"/>
    <x v="51"/>
    <n v="1.0283831516735942"/>
    <x v="0"/>
    <s v="True"/>
    <n v="1"/>
    <n v="152.27420880000003"/>
    <n v="249.94783230691345"/>
    <n v="1602.2220411069134"/>
    <n v="1602.112401023795"/>
    <n v="-0.10964008311839279"/>
    <n v="-6.8434700991222401E-5"/>
    <n v="121.81936704"/>
    <n v="-290.07727852787752"/>
    <n v="-0.14484740438561489"/>
    <n v="-264472.28987563151"/>
  </r>
  <r>
    <s v="FL-00053"/>
    <n v="99.06"/>
    <n v="0"/>
    <x v="11"/>
    <n v="20.751999999999995"/>
    <x v="52"/>
    <n v="9.9434927714861967"/>
    <x v="0"/>
    <s v="True"/>
    <n v="1"/>
    <n v="169.74921600000002"/>
    <n v="283.73802627728077"/>
    <n v="1653.4872422772808"/>
    <n v="4860.4525338806416"/>
    <n v="3206.965291603361"/>
    <n v="0.65980796422733146"/>
    <n v="135.79937280000001"/>
    <n v="2268.8246280272324"/>
    <n v="0.37343430262297433"/>
    <n v="29.253221605871943"/>
  </r>
  <r>
    <s v="FL-00054"/>
    <n v="99.120833333333337"/>
    <n v="10.256833333333333"/>
    <x v="50"/>
    <n v="28.908799999999999"/>
    <x v="53"/>
    <n v="30.027319407963297"/>
    <x v="0"/>
    <s v="True"/>
    <n v="1"/>
    <n v="152.27735040000002"/>
    <n v="272.05523197970672"/>
    <n v="1624.3325823797068"/>
    <n v="3733.8973694717142"/>
    <n v="2109.5647870920075"/>
    <n v="0.56497663924557107"/>
    <n v="121.82188032000002"/>
    <n v="1393.2407832776648"/>
    <n v="0.29850649772407339"/>
    <n v="33.956008755805065"/>
  </r>
  <r>
    <s v="FL-00055"/>
    <n v="99.054000000000002"/>
    <n v="0"/>
    <x v="51"/>
    <n v="20.756799999999998"/>
    <x v="54"/>
    <n v="38.75520907459039"/>
    <x v="0"/>
    <s v="True"/>
    <n v="1"/>
    <n v="169.73893440000001"/>
    <n v="287.36133590115611"/>
    <n v="1657.1002703011561"/>
    <n v="5209.843104754339"/>
    <n v="3552.7428344531827"/>
    <n v="0.68192894930195902"/>
    <n v="135.79114752000001"/>
    <n v="2544.7220003823149"/>
    <n v="0.39075602842013907"/>
    <n v="28.373031233655738"/>
  </r>
  <r>
    <s v="FL-00056"/>
    <n v="99.165333333333336"/>
    <n v="12.506"/>
    <x v="52"/>
    <n v="30.67253333333332"/>
    <x v="55"/>
    <n v="14.177147377041187"/>
    <x v="1"/>
    <s v="True"/>
    <n v="1"/>
    <n v="148.4994336"/>
    <n v="248.31706690237823"/>
    <n v="1596.8165005023782"/>
    <n v="1444.8600227293291"/>
    <n v="-151.95647777304907"/>
    <n v="-0.10517038009398619"/>
    <n v="118.79954688000002"/>
    <n v="-411.22859559891481"/>
    <n v="-0.22769186724239612"/>
    <n v="-170.6226161763866"/>
  </r>
  <r>
    <s v="FL-00057"/>
    <n v="99.036833333333334"/>
    <n v="0"/>
    <x v="53"/>
    <n v="20.770533333333333"/>
    <x v="56"/>
    <n v="5.4502067461383854"/>
    <x v="0"/>
    <s v="True"/>
    <n v="1"/>
    <n v="169.7095176"/>
    <n v="287.35232213800691"/>
    <n v="1657.0618397380069"/>
    <n v="5208.9739204506668"/>
    <n v="3551.9120807126601"/>
    <n v="0.68188325281639306"/>
    <n v="135.76761408000002"/>
    <n v="2544.0592001425266"/>
    <n v="0.39071943749296734"/>
    <n v="28.374938840488323"/>
  </r>
  <r>
    <s v="FL-00058"/>
    <n v="99.102666666666664"/>
    <n v="10.081333333333333"/>
    <x v="54"/>
    <n v="28.782933333333332"/>
    <x v="57"/>
    <n v="42.652922344739061"/>
    <x v="1"/>
    <s v="True"/>
    <n v="1"/>
    <n v="152.5469568"/>
    <n v="264.16234766020779"/>
    <n v="1616.7093044602079"/>
    <n v="2972.7978100914611"/>
    <n v="1356.0885056312532"/>
    <n v="0.45616573755129741"/>
    <n v="122.03756544000002"/>
    <n v="792.03833497296114"/>
    <n v="0.21314287363487888"/>
    <n v="41.593905435820297"/>
  </r>
  <r>
    <s v="FL-00059"/>
    <n v="99.07716666666667"/>
    <n v="0"/>
    <x v="55"/>
    <n v="20.738266666666661"/>
    <x v="58"/>
    <n v="14.819042770827528"/>
    <x v="0"/>
    <s v="True"/>
    <n v="1"/>
    <n v="169.77863280000003"/>
    <n v="282.95806347101967"/>
    <n v="1652.7366962710198"/>
    <n v="4785.2418347054663"/>
    <n v="3132.5051384344465"/>
    <n v="0.65461793711565963"/>
    <n v="135.82290624000001"/>
    <n v="2209.4124980533534"/>
    <n v="0.36937109126303436"/>
    <n v="29.46819237597272"/>
  </r>
  <r>
    <s v="FL-00060"/>
    <n v="99.121333333333325"/>
    <n v="10.315833333333334"/>
    <x v="56"/>
    <n v="28.955600000000004"/>
    <x v="59"/>
    <n v="37.576732897234173"/>
    <x v="0"/>
    <s v="True"/>
    <n v="1"/>
    <n v="152.1771048"/>
    <n v="263.07913123237495"/>
    <n v="1615.256236032375"/>
    <n v="2868.3447974075862"/>
    <n v="1253.0885613752112"/>
    <n v="0.43686817655525734"/>
    <n v="121.74168384000001"/>
    <n v="709.85502285369421"/>
    <n v="0.19798317789277275"/>
    <n v="43.35156789918674"/>
  </r>
  <r>
    <s v="FL-00061"/>
    <n v="99.104333333333344"/>
    <n v="10.237833333333333"/>
    <x v="57"/>
    <n v="28.90679999999999"/>
    <x v="60"/>
    <n v="-4.738867421989613"/>
    <x v="0"/>
    <s v="True"/>
    <n v="1"/>
    <n v="152.28163440000006"/>
    <n v="249.59730775212896"/>
    <n v="1601.878942152129"/>
    <n v="1568.3118189552908"/>
    <n v="-33.567123196838111"/>
    <n v="-2.1403347721499915E-2"/>
    <n v="121.82530752000002"/>
    <n v="-316.77316010789627"/>
    <n v="-0.16158682541532352"/>
    <n v="-843.70065093256198"/>
  </r>
  <r>
    <s v="FL-00062"/>
    <n v="99.063833333333335"/>
    <n v="0"/>
    <x v="58"/>
    <n v="20.748933333333326"/>
    <x v="61"/>
    <n v="13.364817517221844"/>
    <x v="1"/>
    <s v="True"/>
    <n v="1"/>
    <n v="169.75578480000001"/>
    <n v="286.23017102924814"/>
    <n v="1655.9859558292483"/>
    <n v="5100.7664921060687"/>
    <n v="3444.7805362768204"/>
    <n v="0.67534566454040834"/>
    <n v="135.80462784000002"/>
    <n v="2458.5783948156068"/>
    <n v="0.38560140302372137"/>
    <n v="28.628881610179974"/>
  </r>
  <r>
    <s v="FL-00063"/>
    <n v="99.164166666666674"/>
    <n v="12.326666666666666"/>
    <x v="59"/>
    <n v="30.529999999999987"/>
    <x v="62"/>
    <n v="11.69742889815682"/>
    <x v="0"/>
    <s v="True"/>
    <n v="1"/>
    <n v="148.80473999999998"/>
    <n v="245.89137511255365"/>
    <n v="1594.6961151125536"/>
    <n v="1210.9540287105299"/>
    <n v="-383.74208640202369"/>
    <n v="-0.31689236527884296"/>
    <n v="119.04379200000004"/>
    <n v="-596.17194414412984"/>
    <n v="-0.39385273429674722"/>
    <n v="-55.357456288898177"/>
  </r>
  <r>
    <s v="FL-00064"/>
    <n v="99.106999999999999"/>
    <n v="10.569666666666667"/>
    <x v="60"/>
    <n v="29.170133333333325"/>
    <x v="63"/>
    <n v="40.32979151348934"/>
    <x v="1"/>
    <s v="True"/>
    <n v="1"/>
    <n v="151.71757440000002"/>
    <n v="265.42316801950699"/>
    <n v="1617.140742419507"/>
    <n v="3094.3769161667451"/>
    <n v="1477.2361737472381"/>
    <n v="0.47739374154109515"/>
    <n v="121.37405952000002"/>
    <n v="888.70430539388894"/>
    <n v="0.22975980741086938"/>
    <n v="39.840066118909547"/>
  </r>
  <r>
    <s v="FL-00065"/>
    <n v="99.13966666666667"/>
    <n v="10.062833333333334"/>
    <x v="61"/>
    <n v="28.738533333333322"/>
    <x v="64"/>
    <n v="32.208395490502497"/>
    <x v="0"/>
    <s v="True"/>
    <n v="1"/>
    <n v="152.64206160000001"/>
    <n v="262.42152321018159"/>
    <n v="1615.0635848101815"/>
    <n v="2804.9325952675117"/>
    <n v="1189.8690104573302"/>
    <n v="0.42420591940957147"/>
    <n v="122.11364928000002"/>
    <n v="659.41090372382769"/>
    <n v="0.18807180032386867"/>
    <n v="44.581218778831726"/>
  </r>
  <r>
    <s v="FL-00066"/>
    <n v="99.109666666666669"/>
    <n v="10.207833333333333"/>
    <x v="62"/>
    <n v="28.878533333333323"/>
    <x v="65"/>
    <n v="7.1484944900317799"/>
    <x v="1"/>
    <s v="True"/>
    <n v="1"/>
    <n v="152.34218160000003"/>
    <n v="261.38432217717116"/>
    <n v="1613.7265037771713"/>
    <n v="2704.9167813700724"/>
    <n v="1091.1902775929011"/>
    <n v="0.40340992562447719"/>
    <n v="121.87374528000002"/>
    <n v="580.67535763888714"/>
    <n v="0.17173921553173055"/>
    <n v="46.78514191678638"/>
  </r>
  <r>
    <s v="FL-00067"/>
    <n v="99.114999999999995"/>
    <n v="10.206"/>
    <x v="63"/>
    <n v="28.872800000000012"/>
    <x v="66"/>
    <n v="36.827749490586363"/>
    <x v="0"/>
    <s v="True"/>
    <n v="1"/>
    <n v="152.35446240000002"/>
    <n v="266.31004153563532"/>
    <n v="1618.6645039356354"/>
    <n v="3179.8968623648343"/>
    <n v="1561.2323584291989"/>
    <n v="0.49096949555405939"/>
    <n v="121.88356992"/>
    <n v="955.72387843623233"/>
    <n v="0.24044147840077482"/>
    <n v="38.784007820731198"/>
  </r>
  <r>
    <s v="FL-00068"/>
    <n v="99.149666666666661"/>
    <n v="10.220333333333334"/>
    <x v="64"/>
    <n v="28.856533333333346"/>
    <x v="67"/>
    <n v="8.1889641610553561"/>
    <x v="1"/>
    <s v="True"/>
    <n v="1"/>
    <n v="152.38930559999997"/>
    <n v="247.29612614705792"/>
    <n v="1599.6854317470579"/>
    <n v="1346.4121641805859"/>
    <n v="-253.27326756647199"/>
    <n v="-0.18810975888695403"/>
    <n v="121.91144447999999"/>
    <n v="-492.07783928258937"/>
    <n v="-0.29237872465720832"/>
    <n v="-94.287318204019584"/>
  </r>
  <r>
    <s v="FL-00069"/>
    <n v="99.061999999999998"/>
    <n v="0"/>
    <x v="65"/>
    <n v="20.750399999999999"/>
    <x v="68"/>
    <n v="6.0032228717696077"/>
    <x v="0"/>
    <s v="True"/>
    <n v="1"/>
    <n v="169.75264319999999"/>
    <n v="278.35613236468492"/>
    <n v="1648.1087755646849"/>
    <n v="4341.4841923089034"/>
    <n v="2693.3754167442185"/>
    <n v="0.62038125614176609"/>
    <n v="135.80211455999998"/>
    <n v="1859.0291069224377"/>
    <n v="0.3425610274414036"/>
    <n v="30.977720544815384"/>
  </r>
  <r>
    <s v="FL-00070"/>
    <n v="99.132999999999996"/>
    <n v="10.5215"/>
    <x v="66"/>
    <n v="29.110800000000012"/>
    <x v="69"/>
    <n v="6.0947091284517629"/>
    <x v="1"/>
    <s v="True"/>
    <n v="1"/>
    <n v="151.84466639999999"/>
    <n v="251.22175782065466"/>
    <n v="1603.0664242206547"/>
    <n v="1724.955218420271"/>
    <n v="121.88879419961631"/>
    <n v="7.0662004959898689E-2"/>
    <n v="121.47573311999997"/>
    <n v="-192.73331620443787"/>
    <n v="-8.9385887423069327E-2"/>
    <n v="258.12226010604388"/>
  </r>
  <r>
    <s v="FL-00071"/>
    <n v="99.11366666666666"/>
    <n v="10.000999999999999"/>
    <x v="67"/>
    <n v="28.70986666666667"/>
    <x v="70"/>
    <n v="43.863503200267914"/>
    <x v="0"/>
    <s v="True"/>
    <n v="1"/>
    <n v="152.70346560000002"/>
    <n v="258.69303699244603"/>
    <n v="1611.396502592446"/>
    <n v="2445.3999957001529"/>
    <n v="834.00349310770684"/>
    <n v="0.34104992826293018"/>
    <n v="122.16277248"/>
    <n v="375.46418708767646"/>
    <n v="0.12283117289535309"/>
    <n v="54.980501857539899"/>
  </r>
  <r>
    <s v="FL-00072"/>
    <n v="99.060333333333332"/>
    <n v="0"/>
    <x v="68"/>
    <n v="20.751733333333334"/>
    <x v="71"/>
    <n v="15.2559522722003"/>
    <x v="0"/>
    <s v="True"/>
    <n v="1"/>
    <n v="169.74978720000001"/>
    <n v="289.71493964611972"/>
    <n v="1659.4647268461197"/>
    <n v="5436.7977515901121"/>
    <n v="3777.3330247439926"/>
    <n v="0.69477166474313445"/>
    <n v="135.79982976000002"/>
    <n v="2723.9234318659701"/>
    <n v="0.40081291323655344"/>
    <n v="27.887654754756948"/>
  </r>
  <r>
    <s v="FL-00073"/>
    <n v="99.02600000000001"/>
    <n v="0"/>
    <x v="69"/>
    <n v="20.779199999999989"/>
    <x v="72"/>
    <n v="-0.566968702262306"/>
    <x v="0"/>
    <s v="True"/>
    <n v="1"/>
    <n v="169.69095360000003"/>
    <n v="284.39585230562989"/>
    <n v="1654.0868059056299"/>
    <n v="4923.8857580428776"/>
    <n v="3269.7989521372474"/>
    <n v="0.66406880923185985"/>
    <n v="135.75276288000003"/>
    <n v="2318.9599912486719"/>
    <n v="0.37676909744882486"/>
    <n v="29.079431940825479"/>
  </r>
  <r>
    <s v="FL-00074"/>
    <n v="99.13000000000001"/>
    <n v="10.094166666666666"/>
    <x v="70"/>
    <n v="28.771333333333331"/>
    <x v="73"/>
    <n v="19.893151708801575"/>
    <x v="1"/>
    <s v="True"/>
    <n v="1"/>
    <n v="152.57180400000001"/>
    <n v="268.49818502651124"/>
    <n v="1621.0699890265114"/>
    <n v="3390.8964132707233"/>
    <n v="1769.8264242442119"/>
    <n v="0.52193467701276908"/>
    <n v="122.05744320000001"/>
    <n v="1122.161502390067"/>
    <n v="0.26474686705222583"/>
    <n v="36.594827209155511"/>
  </r>
  <r>
    <s v="FL-00075"/>
    <n v="99.122166666666672"/>
    <n v="10.444833333333333"/>
    <x v="71"/>
    <n v="29.05813333333333"/>
    <x v="74"/>
    <n v="13.35958646503914"/>
    <x v="0"/>
    <s v="True"/>
    <n v="1"/>
    <n v="151.95747840000001"/>
    <n v="263.80607016555535"/>
    <n v="1615.7635485655553"/>
    <n v="2938.4424802499793"/>
    <n v="1322.678931684424"/>
    <n v="0.45012925744658477"/>
    <n v="121.56598271999999"/>
    <n v="765.38193131442836"/>
    <n v="0.20837758410008167"/>
    <n v="42.133959120395239"/>
  </r>
  <r>
    <s v="FL-00076"/>
    <n v="99.067833333333326"/>
    <n v="0"/>
    <x v="72"/>
    <n v="20.745733333333334"/>
    <x v="75"/>
    <n v="33.903866524468192"/>
    <x v="0"/>
    <s v="True"/>
    <n v="1"/>
    <n v="169.7626392"/>
    <n v="287.927015745029"/>
    <n v="1657.6896549450289"/>
    <n v="5264.3908039849339"/>
    <n v="3606.701149039905"/>
    <n v="0.6851127287719172"/>
    <n v="135.81011136000001"/>
    <n v="2587.7755160829183"/>
    <n v="0.39324975860440686"/>
    <n v="28.250902718353089"/>
  </r>
  <r>
    <s v="FL-00077"/>
    <n v="99.069333333333333"/>
    <n v="0"/>
    <x v="73"/>
    <n v="20.744533333333337"/>
    <x v="76"/>
    <n v="34.14527439155308"/>
    <x v="0"/>
    <s v="True"/>
    <n v="1"/>
    <n v="169.76520959999999"/>
    <n v="287.02142430742288"/>
    <n v="1656.7866339074228"/>
    <n v="5177.0659153586357"/>
    <n v="3520.2792814512131"/>
    <n v="0.67997575055162296"/>
    <n v="135.81216768000002"/>
    <n v="2518.8191402994858"/>
    <n v="0.38922728533580936"/>
    <n v="28.448315064902513"/>
  </r>
  <r>
    <s v="FL-00078"/>
    <n v="99.114000000000004"/>
    <n v="10.046666666666665"/>
    <x v="74"/>
    <n v="28.746133333333333"/>
    <x v="77"/>
    <n v="29.468939875332911"/>
    <x v="0"/>
    <s v="True"/>
    <n v="1"/>
    <n v="152.62578240000002"/>
    <n v="275.35487018708005"/>
    <n v="1627.9806525870799"/>
    <n v="4052.076768039864"/>
    <n v="2424.096115452784"/>
    <n v="0.59823548620116762"/>
    <n v="122.10062592000001"/>
    <n v="1644.2059183248109"/>
    <n v="0.32461495918206368"/>
    <n v="32.172412313044838"/>
  </r>
  <r>
    <s v="FL-00079"/>
    <n v="99.085000000000008"/>
    <n v="0.50283333333333335"/>
    <x v="75"/>
    <n v="21.134266666666662"/>
    <x v="78"/>
    <n v="-2.9766036556781739"/>
    <x v="1"/>
    <s v="True"/>
    <n v="1"/>
    <n v="168.93040080000006"/>
    <n v="259.62916947552139"/>
    <n v="1628.5595702755213"/>
    <n v="2535.6699137109904"/>
    <n v="907.11034343546908"/>
    <n v="0.35773991659186416"/>
    <n v="135.14432064000002"/>
    <n v="433.76244085327107"/>
    <n v="0.13685139016172759"/>
    <n v="52.181954048666569"/>
  </r>
  <r>
    <s v="FL-00080"/>
    <n v="99.067999999999998"/>
    <n v="0"/>
    <x v="76"/>
    <n v="20.745599999999996"/>
    <x v="79"/>
    <n v="39.458119951540439"/>
    <x v="1"/>
    <s v="True"/>
    <n v="1"/>
    <n v="169.76292480000001"/>
    <n v="281.38153759005451"/>
    <n v="1651.1444623900545"/>
    <n v="4633.2196961838263"/>
    <n v="2982.075233793772"/>
    <n v="0.64362914546227379"/>
    <n v="135.81033984000001"/>
    <n v="2089.3838795170068"/>
    <n v="0.36076577698017437"/>
    <n v="29.935239197204645"/>
  </r>
  <r>
    <s v="FL-00081"/>
    <n v="99.096999999999994"/>
    <n v="10.106833333333332"/>
    <x v="77"/>
    <n v="28.807866666666669"/>
    <x v="80"/>
    <n v="37.389793172127661"/>
    <x v="0"/>
    <s v="True"/>
    <n v="1"/>
    <n v="152.49354960000002"/>
    <n v="272.47022670136846"/>
    <n v="1624.9637763013684"/>
    <n v="3773.914717631957"/>
    <n v="2148.9509413305886"/>
    <n v="0.56942223185133467"/>
    <n v="121.99483968"/>
    <n v="1424.6667077241971"/>
    <n v="0.30200294692788227"/>
    <n v="33.704084149912184"/>
  </r>
  <r>
    <s v="FL-00082"/>
    <n v="99.181666666666658"/>
    <n v="14.9155"/>
    <x v="78"/>
    <n v="32.587066666666658"/>
    <x v="81"/>
    <n v="28.423573843768807"/>
    <x v="0"/>
    <s v="True"/>
    <n v="1"/>
    <n v="144.39850320000002"/>
    <n v="250.66196271191777"/>
    <n v="1595.0604659119178"/>
    <n v="1670.9749757920681"/>
    <n v="75.914509880150263"/>
    <n v="4.5431266763385013E-2"/>
    <n v="115.51880256000003"/>
    <n v="-229.4007846382633"/>
    <n v="-0.10982847162245445"/>
    <n v="402.18305433365617"/>
  </r>
  <r>
    <s v="FL-00083"/>
    <n v="99.135000000000005"/>
    <n v="10.129666666666667"/>
    <x v="79"/>
    <n v="28.795733333333331"/>
    <x v="82"/>
    <n v="6.7713868136029802"/>
    <x v="0"/>
    <s v="True"/>
    <n v="1"/>
    <n v="152.5195392"/>
    <n v="251.21267261697258"/>
    <n v="1603.7322118169727"/>
    <n v="1724.0791452080728"/>
    <n v="120.34693339110004"/>
    <n v="6.9803601375026086E-2"/>
    <n v="122.01563136"/>
    <n v="-193.96498781051446"/>
    <n v="-9.0002823060471762E-2"/>
    <n v="261.17152497785099"/>
  </r>
  <r>
    <s v="FL-00084"/>
    <n v="99.147333333333336"/>
    <n v="10.554499999999999"/>
    <x v="80"/>
    <n v="29.125733333333329"/>
    <x v="83"/>
    <n v="33.92211265998337"/>
    <x v="1"/>
    <s v="True"/>
    <n v="1"/>
    <n v="151.81267920000002"/>
    <n v="257.34175708530836"/>
    <n v="1609.1544362853083"/>
    <n v="2315.0980046547365"/>
    <n v="705.94356836942825"/>
    <n v="0.30493031696716855"/>
    <n v="121.45014336000001"/>
    <n v="273.28650327848095"/>
    <n v="9.4436262388550657E-2"/>
    <n v="61.287769232077338"/>
  </r>
  <r>
    <s v="FL-00085"/>
    <n v="99.114999999999995"/>
    <n v="10.183999999999999"/>
    <x v="81"/>
    <n v="28.855199999999996"/>
    <x v="84"/>
    <n v="17.547493464205644"/>
    <x v="0"/>
    <s v="True"/>
    <n v="1"/>
    <n v="152.39216160000001"/>
    <n v="271.47658295460724"/>
    <n v="1623.8687445546072"/>
    <n v="3678.0990706228417"/>
    <n v="2054.2303260682347"/>
    <n v="0.55850326122955019"/>
    <n v="121.91372928000001"/>
    <n v="1349.0889442636662"/>
    <n v="0.29343177948389831"/>
    <n v="34.326305714422894"/>
  </r>
  <r>
    <s v="FL-00086"/>
    <n v="99.159166666666664"/>
    <n v="11.648166666666667"/>
    <x v="82"/>
    <n v="29.991200000000006"/>
    <x v="85"/>
    <n v="39.354674974320801"/>
    <x v="0"/>
    <s v="True"/>
    <n v="1"/>
    <n v="149.95884960000001"/>
    <n v="246.43595478273625"/>
    <n v="1596.3948043827363"/>
    <n v="1263.4670683352767"/>
    <n v="-332.92773604745958"/>
    <n v="-0.26350329533014233"/>
    <n v="119.96707968"/>
    <n v="-555.62937979451499"/>
    <n v="-0.35181249672085435"/>
    <n v="-66.891886627105407"/>
  </r>
  <r>
    <s v="FL-00087"/>
    <n v="99.039999999999992"/>
    <n v="0"/>
    <x v="83"/>
    <n v="20.768000000000001"/>
    <x v="86"/>
    <n v="4.5757111183645884"/>
    <x v="0"/>
    <s v="True"/>
    <n v="1"/>
    <n v="169.714944"/>
    <n v="285.01447690960322"/>
    <n v="1654.7294209096033"/>
    <n v="4983.5388448545964"/>
    <n v="3328.8094239449929"/>
    <n v="0.66796096660948512"/>
    <n v="135.77195520000001"/>
    <n v="2366.0446437740738"/>
    <n v="0.37981759025989614"/>
    <n v="28.922195823092224"/>
  </r>
  <r>
    <s v="FL-00088"/>
    <n v="99.165333333333336"/>
    <n v="12.483833333333333"/>
    <x v="84"/>
    <n v="30.654799999999994"/>
    <x v="87"/>
    <n v="18.67423264699508"/>
    <x v="0"/>
    <s v="True"/>
    <n v="1"/>
    <n v="148.53741840000001"/>
    <n v="253.62186788959966"/>
    <n v="1602.1592862895995"/>
    <n v="1956.3944036399655"/>
    <n v="354.23511735036595"/>
    <n v="0.18106528862037968"/>
    <n v="118.82993472000001"/>
    <n v="-7.336279697627333"/>
    <n v="-2.9999184965885544E-3"/>
    <n v="102.07101987869012"/>
  </r>
  <r>
    <s v="FL-00089"/>
    <n v="99.046166666666679"/>
    <n v="0"/>
    <x v="85"/>
    <n v="20.76306666666666"/>
    <x v="88"/>
    <n v="3.8539239571997106"/>
    <x v="0"/>
    <s v="True"/>
    <n v="1"/>
    <n v="169.72551120000003"/>
    <n v="281.84108922436803"/>
    <n v="1651.5666004243681"/>
    <n v="4677.5336037783463"/>
    <n v="3025.9670033539783"/>
    <n v="0.64691507526738212"/>
    <n v="135.78040896000002"/>
    <n v="2124.4053848383091"/>
    <n v="0.36333770141123772"/>
    <n v="29.794165551586627"/>
  </r>
  <r>
    <s v="FL-00090"/>
    <n v="99.086166666666671"/>
    <n v="1.1531666666666667"/>
    <x v="86"/>
    <n v="21.653599999999997"/>
    <x v="89"/>
    <n v="30.282976198991307"/>
    <x v="0"/>
    <s v="True"/>
    <n v="1"/>
    <n v="167.81798880000002"/>
    <n v="284.40786571783207"/>
    <n v="1652.225854517832"/>
    <n v="4925.0441942195203"/>
    <n v="3272.8183397016883"/>
    <n v="0.66452567949399632"/>
    <n v="134.25439104000003"/>
    <n v="2321.3730986177843"/>
    <n v="0.37707244963890624"/>
    <n v="29.071128988192683"/>
  </r>
  <r>
    <s v="FL-00091"/>
    <n v="99.117833333333323"/>
    <n v="10.566166666666668"/>
    <x v="87"/>
    <n v="29.158666666666676"/>
    <x v="90"/>
    <n v="39.976212431176101"/>
    <x v="0"/>
    <s v="True"/>
    <n v="1"/>
    <n v="151.74213599999999"/>
    <n v="261.59957420600705"/>
    <n v="1613.3417102060071"/>
    <n v="2725.6732270078242"/>
    <n v="1112.3315168018171"/>
    <n v="0.40809422999796158"/>
    <n v="121.39370879999998"/>
    <n v="597.54529860025241"/>
    <n v="0.17538281337010386"/>
    <n v="46.279927380074732"/>
  </r>
  <r>
    <s v="FL-00092"/>
    <n v="99.165166666666664"/>
    <n v="12.474"/>
    <x v="88"/>
    <n v="30.647066666666674"/>
    <x v="91"/>
    <n v="24.748571326303932"/>
    <x v="0"/>
    <s v="True"/>
    <n v="1"/>
    <n v="148.5539832"/>
    <n v="260.73443876050936"/>
    <n v="1609.2884219605094"/>
    <n v="2642.2494519062561"/>
    <n v="1032.9610299457468"/>
    <n v="0.39094001105781856"/>
    <n v="118.84318655999999"/>
    <n v="534.22193620449571"/>
    <n v="0.16174761571253773"/>
    <n v="48.282469452641969"/>
  </r>
  <r>
    <s v="FL-00093"/>
    <n v="99.135000000000005"/>
    <n v="10.194333333333333"/>
    <x v="89"/>
    <n v="28.847466666666662"/>
    <x v="92"/>
    <n v="42.733651512044652"/>
    <x v="0"/>
    <s v="True"/>
    <n v="1"/>
    <n v="152.40872640000001"/>
    <n v="251.61485423601843"/>
    <n v="1604.0235806360183"/>
    <n v="1762.8609441874873"/>
    <n v="158.83736355146902"/>
    <n v="9.0102037869287568E-2"/>
    <n v="121.92698111999999"/>
    <n v="-163.25308000602854"/>
    <n v="-7.4085516747901092E-2"/>
    <n v="202.78002376508138"/>
  </r>
  <r>
    <s v="FL-00094"/>
    <n v="99.099833333333336"/>
    <n v="10.414999999999999"/>
    <x v="90"/>
    <n v="29.052133333333344"/>
    <x v="93"/>
    <n v="35.858391425802907"/>
    <x v="1"/>
    <s v="True"/>
    <n v="1"/>
    <n v="151.97033039999999"/>
    <n v="273.32628283769583"/>
    <n v="1625.296613237696"/>
    <n v="3856.4629879206695"/>
    <n v="2231.1663746829736"/>
    <n v="0.57855251863469215"/>
    <n v="121.57626431999999"/>
    <n v="1490.2678431788397"/>
    <n v="0.30914708069994745"/>
    <n v="33.206780987339329"/>
  </r>
  <r>
    <s v="FL-00095"/>
    <n v="99.143833333333333"/>
    <n v="10.007666666666667"/>
    <x v="91"/>
    <n v="28.691066666666671"/>
    <x v="94"/>
    <n v="16.88059471033284"/>
    <x v="1"/>
    <s v="True"/>
    <n v="1"/>
    <n v="152.7437352"/>
    <n v="259.72454941952901"/>
    <n v="1612.468284619529"/>
    <n v="2544.8672654545794"/>
    <n v="932.39898083505045"/>
    <n v="0.36638413071359138"/>
    <n v="122.19498815999999"/>
    <n v="453.97427478413465"/>
    <n v="0.14271055498937169"/>
    <n v="51.311157121004335"/>
  </r>
  <r>
    <s v="FL-00096"/>
    <n v="99.069000000000003"/>
    <n v="0"/>
    <x v="92"/>
    <n v="20.744799999999998"/>
    <x v="95"/>
    <n v="44.973546080312239"/>
    <x v="0"/>
    <s v="True"/>
    <n v="1"/>
    <n v="169.76463840000005"/>
    <n v="274.52001060123445"/>
    <n v="1644.2846490012344"/>
    <n v="3971.5724508333201"/>
    <n v="2327.2878018320857"/>
    <n v="0.58598649039973361"/>
    <n v="135.81171072000001"/>
    <n v="1566.9262393454214"/>
    <n v="0.31562838321464282"/>
    <n v="32.67157426288631"/>
  </r>
  <r>
    <s v="FL-00097"/>
    <n v="99.146000000000001"/>
    <n v="10.316000000000001"/>
    <x v="93"/>
    <n v="28.936000000000007"/>
    <x v="96"/>
    <n v="30.832874298546187"/>
    <x v="1"/>
    <s v="True"/>
    <n v="1"/>
    <n v="152.219088"/>
    <n v="261.57625843722917"/>
    <n v="1613.7953464372292"/>
    <n v="2723.4249207328107"/>
    <n v="1109.6295742955815"/>
    <n v="0.40743901763115459"/>
    <n v="121.77527040000001"/>
    <n v="595.38840774901928"/>
    <n v="0.17489401766620072"/>
    <n v="46.343498628631487"/>
  </r>
  <r>
    <s v="FL-00098"/>
    <n v="99.138833333333338"/>
    <n v="10.6655"/>
    <x v="94"/>
    <n v="29.221333333333334"/>
    <x v="97"/>
    <n v="5.1495792032054331"/>
    <x v="1"/>
    <s v="True"/>
    <n v="1"/>
    <n v="151.60790400000002"/>
    <n v="247.86399107467946"/>
    <n v="1599.4718950746794"/>
    <n v="1401.1705679155159"/>
    <n v="-198.30132715916352"/>
    <n v="-0.14152547284387448"/>
    <n v="121.2863232"/>
    <n v="-448.21385994226671"/>
    <n v="-0.25590823570270249"/>
    <n v="-126.02665668622315"/>
  </r>
  <r>
    <s v="FL-00099"/>
    <n v="99.085000000000008"/>
    <n v="1.0643333333333334"/>
    <x v="95"/>
    <n v="21.583466666666666"/>
    <x v="98"/>
    <n v="44.849948550384539"/>
    <x v="0"/>
    <s v="True"/>
    <n v="1"/>
    <n v="167.96821440000002"/>
    <n v="267.64506198089327"/>
    <n v="1635.6132763808932"/>
    <n v="3308.6309767289958"/>
    <n v="1673.0177003481026"/>
    <n v="0.50565255300912837"/>
    <n v="134.37457152000002"/>
    <n v="1044.8851478823035"/>
    <n v="0.25264471141845041"/>
    <n v="37.544883854791514"/>
  </r>
  <r>
    <s v="FL-00100"/>
    <n v="99.14266666666667"/>
    <n v="10.5365"/>
    <x v="96"/>
    <n v="29.115066666666664"/>
    <x v="99"/>
    <n v="16.327409286848798"/>
    <x v="0"/>
    <s v="True"/>
    <n v="1"/>
    <n v="151.8355272"/>
    <n v="259.44284725926866"/>
    <n v="1611.2783744592687"/>
    <n v="2517.7031285723338"/>
    <n v="906.42475411306509"/>
    <n v="0.36002050592321194"/>
    <n v="121.46842176000001"/>
    <n v="433.25123383859818"/>
    <n v="0.13766555045249479"/>
    <n v="52.20218425493755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FL-00001"/>
    <n v="99.137999999999991"/>
    <n v="10.536333333333333"/>
    <n v="1.1813555555555555"/>
    <n v="29.11866666666667"/>
    <n v="963.91134781858102"/>
    <x v="0"/>
    <s v="v2.2"/>
    <s v="True"/>
    <n v="1"/>
    <n v="151.82781599999998"/>
    <n v="255.82459811576689"/>
    <n v="1607.652414115767"/>
    <n v="2168.8005325918075"/>
    <n v="561.14811847604051"/>
    <n v="0.2587366196399099"/>
    <n v="121.4622528"/>
    <n v="157.75357515767905"/>
    <n v="5.819016466918954E-2"/>
    <n v="0.71887355590516033"/>
  </r>
  <r>
    <s v="FL-00002"/>
    <n v="99.035166666666655"/>
    <n v="0"/>
    <n v="1.3204688888888887"/>
    <n v="20.771866666666682"/>
    <n v="2478.8887247984153"/>
    <x v="1"/>
    <s v="v2.2"/>
    <s v="True"/>
    <n v="1"/>
    <n v="169.70666159999996"/>
    <n v="291.17407024529638"/>
    <n v="1660.8807318452964"/>
    <n v="5577.4996307964348"/>
    <n v="3916.6188989511384"/>
    <n v="0.70221768860823175"/>
    <n v="135.76532927999997"/>
    <n v="2835.0603051118519"/>
    <n v="0.40664247319109503"/>
    <n v="0.27614598758355718"/>
  </r>
  <r>
    <s v="FL-00003"/>
    <n v="99.085000000000008"/>
    <n v="0.7"/>
    <n v="1.3118000000000001"/>
    <n v="21.292000000000002"/>
    <n v="1516.2098099583991"/>
    <x v="2"/>
    <s v="v2.1"/>
    <s v="True"/>
    <n v="1"/>
    <n v="168.59253600000002"/>
    <n v="268.71156223236267"/>
    <n v="1637.3040982323628"/>
    <n v="3411.4720724063982"/>
    <n v="1774.1679741740354"/>
    <n v="0.52005935752027588"/>
    <n v="134.87402880000002"/>
    <n v="1125.5920668927561"/>
    <n v="0.26395457280675466"/>
    <n v="0.36556623539731298"/>
  </r>
  <r>
    <s v="FL-00004"/>
    <n v="99.038166666666669"/>
    <n v="0"/>
    <n v="1.320508888888889"/>
    <n v="20.769466666666659"/>
    <n v="2293.3281163142742"/>
    <x v="3"/>
    <s v="v2.1"/>
    <s v="True"/>
    <n v="1"/>
    <n v="169.71180240000001"/>
    <n v="286.84432271399976"/>
    <n v="1656.5561251139998"/>
    <n v="5159.9882617071171"/>
    <n v="3503.4321365931173"/>
    <n v="0.67896126093784004"/>
    <n v="135.76944192000002"/>
    <n v="2505.3768447316938"/>
    <n v="0.38843140219126338"/>
    <n v="0.28487929919829241"/>
  </r>
  <r>
    <s v="FL-00005"/>
    <n v="99.030833333333334"/>
    <n v="0"/>
    <n v="1.3204111111111112"/>
    <n v="20.775333333333322"/>
    <n v="2026.0389662839109"/>
    <x v="4"/>
    <s v="v2.2"/>
    <s v="True"/>
    <n v="1"/>
    <n v="169.69923599999998"/>
    <n v="280.60757587995795"/>
    <n v="1650.3068118799579"/>
    <n v="4558.5876741387992"/>
    <n v="2908.2808622588414"/>
    <n v="0.63797848591521689"/>
    <n v="135.75938880000004"/>
    <n v="2030.503174631081"/>
    <n v="0.35633899264902136"/>
    <n v="0.30182012302140465"/>
  </r>
  <r>
    <s v="FL-00006"/>
    <n v="99.166666666666671"/>
    <n v="12.705500000000001"/>
    <n v="1.1528155555555557"/>
    <n v="30.831066666666658"/>
    <n v="966.81298656826323"/>
    <x v="5"/>
    <s v="v2.2"/>
    <s v="True"/>
    <n v="1"/>
    <n v="148.15985520000001"/>
    <n v="255.89230301992617"/>
    <n v="1604.0521582199262"/>
    <n v="2175.3292197785922"/>
    <n v="571.27706155866599"/>
    <n v="0.26261636922102821"/>
    <n v="118.52788416000003"/>
    <n v="165.84318864294755"/>
    <n v="6.0990561662138593E-2"/>
    <n v="0.70969744839664517"/>
  </r>
  <r>
    <s v="FL-00007"/>
    <n v="99.096333333333334"/>
    <n v="10.777666666666667"/>
    <n v="1.1775822222222223"/>
    <n v="29.345066666666668"/>
    <n v="2238.6142266665197"/>
    <x v="6"/>
    <s v="v2.2"/>
    <s v="True"/>
    <n v="1"/>
    <n v="151.3428672"/>
    <n v="285.56766528888545"/>
    <n v="1636.9105324888856"/>
    <n v="5036.8820099996692"/>
    <n v="3399.9714775107836"/>
    <n v="0.675015112675035"/>
    <n v="121.07429376000002"/>
    <n v="2422.8636489508503"/>
    <n v="0.38481959976680247"/>
    <n v="0.28738706633953937"/>
  </r>
  <r>
    <s v="FL-00008"/>
    <n v="99.116"/>
    <n v="10.3055"/>
    <n v="1.18414"/>
    <n v="28.951599999999999"/>
    <n v="1961.6395275356861"/>
    <x v="7"/>
    <s v="v2.2"/>
    <s v="True"/>
    <n v="1"/>
    <n v="152.18567280000002"/>
    <n v="279.104922309166"/>
    <n v="1631.2905951091661"/>
    <n v="4413.6889369552937"/>
    <n v="2782.3983418461276"/>
    <n v="0.63040200195111995"/>
    <n v="121.74853824"/>
    <n v="1930.0976890150691"/>
    <n v="0.34983846239903138"/>
    <n v="0.30631870354895158"/>
  </r>
  <r>
    <s v="FL-00009"/>
    <n v="99.18"/>
    <n v="14.660833333333333"/>
    <n v="1.1269222222222224"/>
    <n v="32.384666666666661"/>
    <n v="714.97826268347023"/>
    <x v="8"/>
    <s v="v2.2"/>
    <s v="True"/>
    <n v="1"/>
    <n v="144.83204400000005"/>
    <n v="250.0161594626143"/>
    <n v="1594.8482034626145"/>
    <n v="1608.7010910378081"/>
    <n v="13.852887575193563"/>
    <n v="8.6112253248095735E-3"/>
    <n v="115.86563520000003"/>
    <n v="-278.92092183236787"/>
    <n v="-0.13870615163314395"/>
    <n v="21.134496892318175"/>
  </r>
  <r>
    <s v="FL-00010"/>
    <n v="99.05083333333333"/>
    <n v="0"/>
    <n v="1.3206777777777778"/>
    <n v="20.759333333333331"/>
    <n v="2168.9559645655763"/>
    <x v="9"/>
    <s v="v2.2"/>
    <s v="True"/>
    <n v="1"/>
    <n v="169.73350800000003"/>
    <n v="283.94230583986342"/>
    <n v="1653.6758138398634"/>
    <n v="4880.1509202725465"/>
    <n v="3226.4751064326829"/>
    <n v="0.66114248496488937"/>
    <n v="135.78680640000002"/>
    <n v="2284.3916239781743"/>
    <n v="0.37447884892061423"/>
    <n v="0.29198535596207126"/>
  </r>
  <r>
    <s v="FL-00011"/>
    <n v="99.180999999999997"/>
    <n v="14.781666666666666"/>
    <n v="1.1253244444444443"/>
    <n v="32.480533333333341"/>
    <n v="830.05512493529898"/>
    <x v="10"/>
    <s v="v2.1"/>
    <s v="True"/>
    <n v="1"/>
    <n v="144.6266976"/>
    <n v="252.70128624849031"/>
    <n v="1597.3279838484902"/>
    <n v="1867.6240311044228"/>
    <n v="270.29604725593254"/>
    <n v="0.14472722708332925"/>
    <n v="115.70135807999999"/>
    <n v="-74.303419444951942"/>
    <n v="-3.1827998872347982E-2"/>
    <n v="1.2748964337410269"/>
  </r>
  <r>
    <s v="FL-00012"/>
    <n v="99.06"/>
    <n v="0"/>
    <n v="1.3208"/>
    <n v="20.751999999999995"/>
    <n v="1545.7350434124969"/>
    <x v="11"/>
    <s v="v2.2"/>
    <s v="True"/>
    <n v="1"/>
    <n v="169.74921600000002"/>
    <n v="269.40048434629159"/>
    <n v="1639.1497003462916"/>
    <n v="3477.9038476781179"/>
    <n v="1838.7541473318263"/>
    <n v="0.52869608472913832"/>
    <n v="135.79937280000001"/>
    <n v="1177.1232209962025"/>
    <n v="0.27076613329193933"/>
    <n v="0.35982566092139134"/>
  </r>
  <r>
    <s v="FL-00013"/>
    <n v="99.085000000000008"/>
    <n v="0.57233333333333336"/>
    <n v="1.3135022222222223"/>
    <n v="21.18986666666666"/>
    <n v="1685.6301646707304"/>
    <x v="12"/>
    <s v="v2.2"/>
    <s v="True"/>
    <n v="1"/>
    <n v="168.81130560000003"/>
    <n v="272.66470384231707"/>
    <n v="1641.476009442317"/>
    <n v="3792.6678705091435"/>
    <n v="2151.1918610668263"/>
    <n v="0.5671975333759034"/>
    <n v="135.04904448000002"/>
    <n v="1426.4205480849976"/>
    <n v="0.3008796123017245"/>
    <n v="0.33691616545183362"/>
  </r>
  <r>
    <s v="FL-00014"/>
    <n v="99.100833333333341"/>
    <n v="10.536166666666666"/>
    <n v="1.1808622222222225"/>
    <n v="29.148266666666657"/>
    <n v="1726.6509320393063"/>
    <x v="13"/>
    <s v="v2.2"/>
    <s v="True"/>
    <n v="1"/>
    <n v="151.76441280000006"/>
    <n v="273.62185508091716"/>
    <n v="1625.3862678809173"/>
    <n v="3884.9645970884394"/>
    <n v="2259.5783292075221"/>
    <n v="0.58162134370566665"/>
    <n v="121.41153024000003"/>
    <n v="1512.9382923498342"/>
    <n v="0.31154740374904744"/>
    <n v="0.33043334997797974"/>
  </r>
  <r>
    <s v="FL-00015"/>
    <n v="99.114666666666665"/>
    <n v="10.132166666666667"/>
    <n v="1.1864333333333335"/>
    <n v="28.813999999999993"/>
    <n v="1675.9624596393071"/>
    <x v="14"/>
    <s v="v2.2"/>
    <s v="True"/>
    <n v="1"/>
    <n v="152.48041199999997"/>
    <n v="272.43912405825051"/>
    <n v="1624.9195360582505"/>
    <n v="3770.9155341884411"/>
    <n v="2145.9959981301909"/>
    <n v="0.56909150541130915"/>
    <n v="121.98432960000001"/>
    <n v="1422.3089736925024"/>
    <n v="0.30174295038907156"/>
    <n v="0.33722664211314368"/>
  </r>
  <r>
    <s v="FL-00016"/>
    <n v="99.087999999999994"/>
    <n v="1.2598333333333334"/>
    <n v="1.3043755555555554"/>
    <n v="21.737466666666677"/>
    <n v="2178.2789512764057"/>
    <x v="15"/>
    <s v="v2.1"/>
    <s v="True"/>
    <n v="1"/>
    <n v="167.63834639999999"/>
    <n v="284.15984219644952"/>
    <n v="1651.7981885964496"/>
    <n v="4901.127640371913"/>
    <n v="3249.3294517754634"/>
    <n v="0.66297588844858035"/>
    <n v="134.11067712000002"/>
    <n v="2302.6315929810808"/>
    <n v="0.37585335652369989"/>
    <n v="0.29135176129250245"/>
  </r>
  <r>
    <s v="FL-00017"/>
    <n v="99.167333333333332"/>
    <n v="12.788166666666665"/>
    <n v="1.1517222222222221"/>
    <n v="30.896666666666675"/>
    <n v="1138.5452454136066"/>
    <x v="16"/>
    <s v="v2.2"/>
    <s v="True"/>
    <n v="1"/>
    <n v="148.01934"/>
    <n v="259.89938905965084"/>
    <n v="1607.9187290596508"/>
    <n v="2561.7268021806149"/>
    <n v="953.80807312096408"/>
    <n v="0.37233012993776521"/>
    <n v="118.41547200000001"/>
    <n v="471.06658068484103"/>
    <n v="0.14710907666933279"/>
    <n v="0.50612015775515529"/>
  </r>
  <r>
    <s v="FL-00018"/>
    <n v="99.127499999999998"/>
    <n v="10.427166666666666"/>
    <n v="1.182671111111111"/>
    <n v="29.039733333333345"/>
    <n v="731.53228209475117"/>
    <x v="17"/>
    <s v="v2.2"/>
    <s v="True"/>
    <n v="1"/>
    <n v="151.99689120000002"/>
    <n v="250.40241991554421"/>
    <n v="1602.3993111155442"/>
    <n v="1645.9476347131902"/>
    <n v="43.548323597646004"/>
    <n v="2.6457903446748712E-2"/>
    <n v="121.59751296"/>
    <n v="-255.24182510499213"/>
    <n v="-0.12405829673893293"/>
    <n v="6.8611171227447469"/>
  </r>
  <r>
    <s v="FL-00019"/>
    <n v="99.092166666666657"/>
    <n v="1.887"/>
    <n v="1.2960688888888887"/>
    <n v="22.235866666666681"/>
    <n v="2313.8561376333432"/>
    <x v="18"/>
    <s v="v2.2"/>
    <s v="True"/>
    <n v="1"/>
    <n v="166.5707736"/>
    <n v="287.32330987811133"/>
    <n v="1653.8940834781113"/>
    <n v="5206.1763096750219"/>
    <n v="3552.2822261969104"/>
    <n v="0.68232076958197552"/>
    <n v="133.25661887999999"/>
    <n v="2544.3611189819067"/>
    <n v="0.39097578992913207"/>
    <n v="0.2837390283299896"/>
  </r>
  <r>
    <s v="FL-00020"/>
    <n v="99.078000000000003"/>
    <n v="0"/>
    <n v="1.32104"/>
    <n v="20.7376"/>
    <n v="1566.7153945277312"/>
    <x v="19"/>
    <s v="v2.1"/>
    <s v="True"/>
    <n v="1"/>
    <n v="169.7800608"/>
    <n v="269.89002587231374"/>
    <n v="1639.6700866723138"/>
    <n v="3525.1096376873952"/>
    <n v="1885.4395510150814"/>
    <n v="0.53485983268650927"/>
    <n v="135.82404864000003"/>
    <n v="1214.3736356376021"/>
    <n v="0.27559395546840965"/>
    <n v="0.35592014340432787"/>
  </r>
  <r>
    <s v="FL-00021"/>
    <n v="99.05749999999999"/>
    <n v="0"/>
    <n v="1.3207666666666666"/>
    <n v="20.754000000000005"/>
    <n v="1877.057989619386"/>
    <x v="20"/>
    <s v="v2.1"/>
    <s v="True"/>
    <n v="1"/>
    <n v="169.74493199999998"/>
    <n v="277.13135309111902"/>
    <n v="1646.8762850911189"/>
    <n v="4223.3804766436187"/>
    <n v="2576.5041915524998"/>
    <n v="0.61005732393783396"/>
    <n v="135.79594559999998"/>
    <n v="1765.7770826237759"/>
    <n v="0.33447653459383597"/>
    <n v="0.31466166893375469"/>
  </r>
  <r>
    <s v="FL-00022"/>
    <n v="99.102166666666662"/>
    <n v="10.732833333333334"/>
    <n v="1.1782577777777776"/>
    <n v="29.304533333333339"/>
    <n v="2188.3387041018327"/>
    <x v="21"/>
    <s v="v2.2"/>
    <s v="True"/>
    <n v="1"/>
    <n v="151.42968959999999"/>
    <n v="284.39456976237614"/>
    <n v="1635.8242593623761"/>
    <n v="4923.7620842291235"/>
    <n v="3287.9378248667472"/>
    <n v="0.66776943496072982"/>
    <n v="121.14375168000001"/>
    <n v="2333.4713459409231"/>
    <n v="0.37913632803909247"/>
    <n v="0.29029334791770478"/>
  </r>
  <r>
    <s v="FL-00023"/>
    <n v="99.090999999999994"/>
    <n v="1.6556666666666666"/>
    <n v="1.2991377777777777"/>
    <n v="22.051733333333331"/>
    <n v="1738.6365792152469"/>
    <x v="22"/>
    <s v="v2.1"/>
    <s v="True"/>
    <n v="1"/>
    <n v="166.9651872"/>
    <n v="273.90152018168908"/>
    <n v="1640.8667073816891"/>
    <n v="3911.9323032343054"/>
    <n v="2271.0655958526163"/>
    <n v="0.58054828657820734"/>
    <n v="133.57214976"/>
    <n v="1522.072172645755"/>
    <n v="0.31126758944930355"/>
    <n v="0.32979823417459236"/>
  </r>
  <r>
    <s v="FL-00024"/>
    <n v="99.159000000000006"/>
    <n v="11.597666666666667"/>
    <n v="1.1674844444444445"/>
    <n v="29.950933333333325"/>
    <n v="1252.2045918659501"/>
    <x v="23"/>
    <s v="v2.2"/>
    <s v="True"/>
    <n v="1"/>
    <n v="150.04510080000003"/>
    <n v="262.55144047687219"/>
    <n v="1612.5965412768724"/>
    <n v="2817.4603316983876"/>
    <n v="1204.8637904215152"/>
    <n v="0.42764179387583912"/>
    <n v="120.03608064000002"/>
    <n v="671.38074424183787"/>
    <n v="0.19063430613402796"/>
    <n v="0.44277456955780964"/>
  </r>
  <r>
    <s v="FL-00025"/>
    <n v="99.129333333333335"/>
    <n v="10.019666666666666"/>
    <n v="1.188128888888889"/>
    <n v="28.712266666666665"/>
    <n v="1018.4421534435731"/>
    <x v="24"/>
    <s v="v2.1"/>
    <s v="True"/>
    <n v="1"/>
    <n v="152.69832479999999"/>
    <n v="257.09698358035007"/>
    <n v="1609.79530838035"/>
    <n v="2291.4948452480394"/>
    <n v="681.6995368676894"/>
    <n v="0.29749119369888866"/>
    <n v="122.15865984000001"/>
    <n v="253.94023277808128"/>
    <n v="8.8654873757953029E-2"/>
    <n v="0.62748950374104717"/>
  </r>
  <r>
    <s v="FL-00026"/>
    <n v="99.099833333333336"/>
    <n v="10.411"/>
    <n v="1.1825177777777778"/>
    <n v="29.048933333333338"/>
    <n v="844.07755819346005"/>
    <x v="25"/>
    <s v="v2.1"/>
    <s v="True"/>
    <n v="1"/>
    <n v="151.97718480000003"/>
    <n v="253.02847635784738"/>
    <n v="1605.0056611578475"/>
    <n v="1899.1745059352852"/>
    <n v="294.1688447774377"/>
    <n v="0.15489300422794405"/>
    <n v="121.58174784000001"/>
    <n v="-55.270619449619062"/>
    <n v="-2.3281955092336281E-2"/>
    <n v="1.1878874001474755"/>
  </r>
  <r>
    <s v="FL-00027"/>
    <n v="99.076333333333338"/>
    <n v="0"/>
    <n v="1.3210177777777778"/>
    <n v="20.738933333333335"/>
    <n v="2295.6860890780977"/>
    <x v="26"/>
    <s v="v2.2"/>
    <s v="True"/>
    <n v="1"/>
    <n v="169.77720479999999"/>
    <n v="286.89934207848893"/>
    <n v="1656.6765468784888"/>
    <n v="5165.2937004257201"/>
    <n v="3508.6171535472313"/>
    <n v="0.67926769648317453"/>
    <n v="135.82176384000002"/>
    <n v="2509.5138544220863"/>
    <n v="0.38867317135755575"/>
    <n v="0.28475700123481584"/>
  </r>
  <r>
    <s v="FL-00028"/>
    <n v="99.092166666666657"/>
    <n v="1.873"/>
    <n v="1.2962555555555553"/>
    <n v="22.224666666666678"/>
    <n v="2246.9537459200228"/>
    <x v="27"/>
    <s v="v2.2"/>
    <s v="True"/>
    <n v="1"/>
    <n v="166.594764"/>
    <n v="285.76225407146723"/>
    <n v="1652.3570180714673"/>
    <n v="5055.6459283200511"/>
    <n v="3403.2889102485838"/>
    <n v="0.67316599273388356"/>
    <n v="133.27581119999999"/>
    <n v="2425.4786773845735"/>
    <n v="0.38380514961268897"/>
    <n v="0.28731331916002067"/>
  </r>
  <r>
    <s v="FL-00029"/>
    <n v="99.079833333333326"/>
    <n v="8.1499999999999989E-2"/>
    <n v="1.3199777777777777"/>
    <n v="20.801333333333332"/>
    <n v="1746.1648643194485"/>
    <x v="28"/>
    <s v="v2.2"/>
    <s v="True"/>
    <n v="1"/>
    <n v="169.64354399999999"/>
    <n v="274.07718016745383"/>
    <n v="1643.7207241674537"/>
    <n v="3928.8709447187593"/>
    <n v="2285.1502205513057"/>
    <n v="0.58163025782840616"/>
    <n v="135.71483520000001"/>
    <n v="1533.3047404075539"/>
    <n v="0.3122127984312934"/>
    <n v="0.32901359104626593"/>
  </r>
  <r>
    <s v="FL-00030"/>
    <n v="99.149500000000003"/>
    <n v="10.201666666666666"/>
    <n v="1.1859711111111111"/>
    <n v="28.841733333333337"/>
    <n v="866.32746253844562"/>
    <x v="29"/>
    <s v="v2.1"/>
    <s v="True"/>
    <n v="1"/>
    <n v="152.42100719999999"/>
    <n v="253.54764079256373"/>
    <n v="1605.9686479925638"/>
    <n v="1949.2367907115026"/>
    <n v="343.26814271893886"/>
    <n v="0.17610387016840601"/>
    <n v="121.93680575999998"/>
    <n v="-16.095013983361696"/>
    <n v="-6.6056680481540704E-3"/>
    <n v="1.0468875843120111"/>
  </r>
  <r>
    <s v="FL-00031"/>
    <n v="99.080333333333328"/>
    <n v="0.1275"/>
    <n v="1.3193711111111111"/>
    <n v="20.837733333333333"/>
    <n v="2319.8586679009086"/>
    <x v="30"/>
    <s v="v2.2"/>
    <s v="True"/>
    <n v="1"/>
    <n v="169.56557520000004"/>
    <n v="287.46336891768789"/>
    <n v="1657.0289441176878"/>
    <n v="5219.6820027770445"/>
    <n v="3562.6530586593567"/>
    <n v="0.68254216574187976"/>
    <n v="135.65246016"/>
    <n v="2552.6297731439477"/>
    <n v="0.39123146150066057"/>
    <n v="0.2835031278334707"/>
  </r>
  <r>
    <s v="FL-00032"/>
    <n v="99.175166666666669"/>
    <n v="13.945"/>
    <n v="1.1364022222222221"/>
    <n v="31.815866666666679"/>
    <n v="752.7337366305793"/>
    <x v="31"/>
    <s v="v2.2"/>
    <s v="True"/>
    <n v="1"/>
    <n v="146.05041360000001"/>
    <n v="250.8971205213802"/>
    <n v="1596.9475341213802"/>
    <n v="1693.6509074188034"/>
    <n v="96.703373297423241"/>
    <n v="5.709758302246791E-2"/>
    <n v="116.84033087999997"/>
    <n v="-212.8167254663374"/>
    <n v="-0.10052448212751433"/>
    <n v="3.2007166679883352"/>
  </r>
  <r>
    <s v="FL-00033"/>
    <n v="99.114999999999995"/>
    <n v="10.220000000000001"/>
    <n v="1.1852666666666667"/>
    <n v="28.884"/>
    <n v="837.61741023998718"/>
    <x v="32"/>
    <s v="v2.1"/>
    <s v="True"/>
    <n v="1"/>
    <n v="152.33047199999999"/>
    <n v="252.87773957226639"/>
    <n v="1605.2082115722665"/>
    <n v="1884.6391730399712"/>
    <n v="279.43096146770472"/>
    <n v="0.14826761826083421"/>
    <n v="121.86437760000001"/>
    <n v="-67.030778740289179"/>
    <n v="-2.8453522435137258E-2"/>
    <n v="1.239883148195932"/>
  </r>
  <r>
    <s v="FL-00034"/>
    <n v="99.137999999999991"/>
    <n v="10.521333333333333"/>
    <n v="1.1815555555555555"/>
    <n v="29.106666666666669"/>
    <n v="1383.8868594791841"/>
    <x v="33"/>
    <s v="v2.2"/>
    <s v="True"/>
    <n v="1"/>
    <n v="151.85352"/>
    <n v="265.624026721181"/>
    <n v="1617.4775467211809"/>
    <n v="3113.7454338281641"/>
    <n v="1496.2678871069832"/>
    <n v="0.48053635690680441"/>
    <n v="121.48281600000001"/>
    <n v="903.88950434135018"/>
    <n v="0.232232087959759"/>
    <n v="0.39590396069449157"/>
  </r>
  <r>
    <s v="FL-00035"/>
    <n v="99.101500000000001"/>
    <n v="10.671333333333333"/>
    <n v="1.1790688888888889"/>
    <n v="29.255866666666662"/>
    <n v="1623.5284569887992"/>
    <x v="34"/>
    <s v="v2.2"/>
    <s v="True"/>
    <n v="1"/>
    <n v="151.53393360000001"/>
    <n v="271.21566399640534"/>
    <n v="1622.7495975964052"/>
    <n v="3652.9390282247982"/>
    <n v="2030.189430628393"/>
    <n v="0.55576877000736435"/>
    <n v="121.22714688000001"/>
    <n v="1329.9084117034331"/>
    <n v="0.29125225500404206"/>
    <n v="0.34493383147414275"/>
  </r>
  <r>
    <s v="FL-00036"/>
    <n v="99.064666666666668"/>
    <n v="0"/>
    <n v="1.3208622222222222"/>
    <n v="20.748266666666666"/>
    <n v="2099.9592737981675"/>
    <x v="35"/>
    <s v="v2.1"/>
    <s v="True"/>
    <n v="1"/>
    <n v="169.75721280000002"/>
    <n v="282.33238305529056"/>
    <n v="1652.0895958552906"/>
    <n v="4724.9083660458764"/>
    <n v="3072.8187701905858"/>
    <n v="0.65034462726779374"/>
    <n v="135.80577024000002"/>
    <n v="2161.788539541411"/>
    <n v="0.36602420568855049"/>
    <n v="0.29648029994058839"/>
  </r>
  <r>
    <s v="FL-00037"/>
    <n v="99.058833333333325"/>
    <n v="0"/>
    <n v="1.3207844444444443"/>
    <n v="20.752933333333345"/>
    <n v="1989.5057846282159"/>
    <x v="36"/>
    <s v="v2.2"/>
    <s v="True"/>
    <n v="1"/>
    <n v="169.74721680000002"/>
    <n v="279.7551349746584"/>
    <n v="1649.5023517746586"/>
    <n v="4476.3880154134858"/>
    <n v="2826.8856636388273"/>
    <n v="0.63151041730633051"/>
    <n v="135.79777343999999"/>
    <n v="1965.5575039161304"/>
    <n v="0.35127562617863384"/>
    <n v="0.30469154476307225"/>
  </r>
  <r>
    <s v="FL-00038"/>
    <n v="99.176000000000002"/>
    <n v="14.095000000000001"/>
    <n v="1.1344133333333333"/>
    <n v="31.935200000000009"/>
    <n v="718.19086046664711"/>
    <x v="37"/>
    <s v="v2.2"/>
    <s v="True"/>
    <n v="1"/>
    <n v="145.79480160000003"/>
    <n v="250.09112007755513"/>
    <n v="1595.8859216775552"/>
    <n v="1615.9294360499559"/>
    <n v="20.04351437240075"/>
    <n v="1.2403706452303967E-2"/>
    <n v="116.63584127999999"/>
    <n v="-273.9834125175903"/>
    <n v="-0.13564127561774061"/>
    <n v="14.669429792953689"/>
  </r>
  <r>
    <s v="FL-00039"/>
    <n v="99.138666666666666"/>
    <n v="10.611166666666666"/>
    <n v="1.1803666666666668"/>
    <n v="29.177999999999997"/>
    <n v="874.27233718808156"/>
    <x v="38"/>
    <s v="v2.1"/>
    <s v="True"/>
    <n v="1"/>
    <n v="151.70072400000001"/>
    <n v="253.73302120105527"/>
    <n v="1605.4337452010552"/>
    <n v="1967.1127586731836"/>
    <n v="361.67901347212842"/>
    <n v="0.18386287815858643"/>
    <n v="121.36057920000002"/>
    <n v="-1.4033934625083475"/>
    <n v="-5.7074245747048506E-4"/>
    <n v="1.0038802181222397"/>
  </r>
  <r>
    <s v="FL-00040"/>
    <n v="99.056666666666658"/>
    <n v="0"/>
    <n v="1.3207555555555555"/>
    <n v="20.754666666666679"/>
    <n v="1841.7838907036876"/>
    <x v="39"/>
    <s v="v2.2"/>
    <s v="True"/>
    <n v="1"/>
    <n v="169.743504"/>
    <n v="276.30829078308608"/>
    <n v="1646.0517947830861"/>
    <n v="4144.0137540832966"/>
    <n v="2497.9619593002108"/>
    <n v="0.60278804741872505"/>
    <n v="135.79480319999999"/>
    <n v="1703.1079092835512"/>
    <n v="0.32878421942598951"/>
    <n v="0.31820102266062261"/>
  </r>
  <r>
    <s v="FL-00041"/>
    <n v="99.150999999999996"/>
    <n v="10.394166666666667"/>
    <n v="1.1834244444444444"/>
    <n v="28.994533333333337"/>
    <n v="864.24989860113328"/>
    <x v="40"/>
    <s v="v2.1"/>
    <s v="True"/>
    <n v="1"/>
    <n v="152.09370960000001"/>
    <n v="253.49916430069311"/>
    <n v="1605.5928739006931"/>
    <n v="1944.5622718525499"/>
    <n v="338.96939795185676"/>
    <n v="0.17431655589456985"/>
    <n v="121.67496768000001"/>
    <n v="-19.524314498653212"/>
    <n v="-8.0323740849102231E-3"/>
    <n v="1.05759904763269"/>
  </r>
  <r>
    <s v="FL-00042"/>
    <n v="99.056666666666658"/>
    <n v="0"/>
    <n v="1.3207555555555555"/>
    <n v="20.754666666666679"/>
    <n v="2193.23858689504"/>
    <x v="41"/>
    <s v="v2.2"/>
    <s v="True"/>
    <n v="1"/>
    <n v="169.743504"/>
    <n v="284.5089003608843"/>
    <n v="1654.2524043608842"/>
    <n v="4934.7868205138402"/>
    <n v="3280.5344161529561"/>
    <n v="0.66477733192360411"/>
    <n v="135.79480319999999"/>
    <n v="2327.5257528501879"/>
    <n v="0.37732543876865293"/>
    <n v="0.29050408939783356"/>
  </r>
  <r>
    <s v="FL-00043"/>
    <n v="99.064666666666668"/>
    <n v="0"/>
    <n v="1.3208622222222222"/>
    <n v="20.748266666666666"/>
    <n v="1772.8027719946456"/>
    <x v="42"/>
    <s v="v2.2"/>
    <s v="True"/>
    <n v="1"/>
    <n v="169.75721280000002"/>
    <n v="274.69873134654176"/>
    <n v="1644.4559441465417"/>
    <n v="3988.8062369879526"/>
    <n v="2344.3502928414109"/>
    <n v="0.58773230725082515"/>
    <n v="135.80577024000002"/>
    <n v="1580.5404880038204"/>
    <n v="0.31699518985857306"/>
    <n v="0.32580873565265456"/>
  </r>
  <r>
    <s v="FL-00044"/>
    <n v="99.123666666666665"/>
    <n v="10.6165"/>
    <n v="1.1800955555555555"/>
    <n v="29.194266666666678"/>
    <n v="1345.6278515577735"/>
    <x v="43"/>
    <s v="v2.2"/>
    <s v="True"/>
    <n v="1"/>
    <n v="151.6658808"/>
    <n v="264.73131653634806"/>
    <n v="1616.3971973363482"/>
    <n v="3027.6626660049906"/>
    <n v="1411.2654686686424"/>
    <n v="0.46612374770628301"/>
    <n v="121.33270463999999"/>
    <n v="836.06611162764466"/>
    <n v="0.22091394025235611"/>
    <n v="0.40757700787763801"/>
  </r>
  <r>
    <s v="FL-00045"/>
    <n v="99.067333333333337"/>
    <n v="0"/>
    <n v="1.3208977777777777"/>
    <n v="20.746133333333333"/>
    <n v="1497.834087705766"/>
    <x v="44"/>
    <s v="v2.2"/>
    <s v="True"/>
    <n v="1"/>
    <n v="169.76178240000004"/>
    <n v="268.28279537980126"/>
    <n v="1638.0445777798013"/>
    <n v="3370.1266973379734"/>
    <n v="1732.0821195581721"/>
    <n v="0.5139516330131817"/>
    <n v="135.80942592"/>
    <n v="1092.0091365705775"/>
    <n v="0.25922090998730551"/>
    <n v="0.36953962849686794"/>
  </r>
  <r>
    <s v="FL-00046"/>
    <n v="99.186666666666667"/>
    <n v="15.526999999999999"/>
    <n v="1.1154622222222221"/>
    <n v="33.072266666666678"/>
    <n v="711.80459408069942"/>
    <x v="45"/>
    <s v="v2.2"/>
    <s v="True"/>
    <n v="1"/>
    <n v="143.35920480000001"/>
    <n v="249.94210719521629"/>
    <n v="1593.3013119952163"/>
    <n v="1601.5603366815737"/>
    <n v="8.2590246863574066"/>
    <n v="5.1568614039668786E-3"/>
    <n v="114.68736383999997"/>
    <n v="-283.38120168995738"/>
    <n v="-0.14155255731526023"/>
    <n v="35.311702949387957"/>
  </r>
  <r>
    <s v="FL-00047"/>
    <n v="99.066666666666663"/>
    <n v="0"/>
    <n v="1.3208888888888888"/>
    <n v="20.74666666666667"/>
    <n v="2335.2977883802232"/>
    <x v="46"/>
    <s v="v2.2"/>
    <s v="True"/>
    <n v="1"/>
    <n v="169.76064"/>
    <n v="287.82361506220525"/>
    <n v="1657.5842550622051"/>
    <n v="5254.4200238555022"/>
    <n v="3596.8357687932971"/>
    <n v="0.68453525840404172"/>
    <n v="135.80851200000001"/>
    <n v="2579.903892022196"/>
    <n v="0.3927975122368168"/>
    <n v="0.28272958292790545"/>
  </r>
  <r>
    <s v="FL-00048"/>
    <n v="99.167000000000002"/>
    <n v="12.7515"/>
    <n v="1.1522066666666668"/>
    <n v="30.867599999999996"/>
    <n v="1042.0295997944311"/>
    <x v="47"/>
    <s v="v2.2"/>
    <s v="True"/>
    <n v="1"/>
    <n v="148.08160080000005"/>
    <n v="257.64735732853677"/>
    <n v="1605.7289581285368"/>
    <n v="2344.5665995374698"/>
    <n v="738.837641408933"/>
    <n v="0.31512759823273478"/>
    <n v="118.46528064"/>
    <n v="299.54064166143894"/>
    <n v="0.10220759494587413"/>
    <n v="0.59457853136688155"/>
  </r>
  <r>
    <s v="FL-00049"/>
    <n v="99.12166666666667"/>
    <n v="10.368333333333334"/>
    <n v="1.1833777777777776"/>
    <n v="28.997333333333344"/>
    <n v="523.65287286989417"/>
    <x v="48"/>
    <s v="v2.2"/>
    <s v="True"/>
    <n v="1"/>
    <n v="152.08771200000001"/>
    <n v="245.55190036696419"/>
    <n v="1597.6396123669642"/>
    <n v="1178.2189639572618"/>
    <n v="-419.42064840970238"/>
    <n v="-0.3559785245698322"/>
    <n v="121.67016959999999"/>
    <n v="-624.64689880115463"/>
    <n v="-0.42412958399730044"/>
    <n v="-0.48930888636408104"/>
  </r>
  <r>
    <s v="FL-00050"/>
    <n v="99.135000000000005"/>
    <n v="10.221666666666666"/>
    <n v="1.1855111111111112"/>
    <n v="28.86933333333333"/>
    <n v="879.74193294549434"/>
    <x v="49"/>
    <s v="v2.2"/>
    <s v="True"/>
    <n v="1"/>
    <n v="152.36188800000005"/>
    <n v="253.86064510206157"/>
    <n v="1606.2225331020616"/>
    <n v="1979.4193491273622"/>
    <n v="373.19681602530068"/>
    <n v="0.18853853085240704"/>
    <n v="121.88951040000001"/>
    <n v="7.7853237998281202"/>
    <n v="3.1465081123958185E-3"/>
    <n v="0.97913882577363598"/>
  </r>
  <r>
    <s v="FL-00051"/>
    <n v="99.080999999999989"/>
    <n v="0.16283333333333333"/>
    <n v="1.3189088888888887"/>
    <n v="20.865466666666677"/>
    <n v="2072.0165994488748"/>
    <x v="50"/>
    <s v="v2.2"/>
    <s v="True"/>
    <n v="1"/>
    <n v="169.5061704"/>
    <n v="281.68038732047376"/>
    <n v="1651.1865577204737"/>
    <n v="4662.0373487599682"/>
    <n v="3010.8507910394947"/>
    <n v="0.64582296661358485"/>
    <n v="135.60493631999998"/>
    <n v="2112.344555367501"/>
    <n v="0.36247578427132987"/>
    <n v="0.29842270442162455"/>
  </r>
  <r>
    <s v="FL-00052"/>
    <n v="99.120833333333337"/>
    <n v="10.258666666666667"/>
    <n v="1.1848288888888889"/>
    <n v="28.910266666666658"/>
    <n v="712.04995601057556"/>
    <x v="51"/>
    <s v="v2.2"/>
    <s v="True"/>
    <n v="1"/>
    <n v="152.27420880000003"/>
    <n v="249.94783230691345"/>
    <n v="1602.2220411069134"/>
    <n v="1602.112401023795"/>
    <n v="-0.10964008311839279"/>
    <n v="-6.8434700991222401E-5"/>
    <n v="121.81936704"/>
    <n v="-290.07727852787752"/>
    <n v="-0.14484740438561489"/>
    <n v="-2644.7228987563153"/>
  </r>
  <r>
    <s v="FL-00053"/>
    <n v="99.06"/>
    <n v="0"/>
    <n v="1.3208"/>
    <n v="20.751999999999995"/>
    <n v="2160.2011261691741"/>
    <x v="52"/>
    <s v="v2.2"/>
    <s v="True"/>
    <n v="1"/>
    <n v="169.74921600000002"/>
    <n v="283.73802627728077"/>
    <n v="1653.4872422772808"/>
    <n v="4860.4525338806416"/>
    <n v="3206.965291603361"/>
    <n v="0.65980796422733146"/>
    <n v="135.79937280000001"/>
    <n v="2268.8246280272324"/>
    <n v="0.37343430262297433"/>
    <n v="0.29253221605871943"/>
  </r>
  <r>
    <s v="FL-00054"/>
    <n v="99.120833333333337"/>
    <n v="10.256833333333333"/>
    <n v="1.1848533333333333"/>
    <n v="28.908799999999999"/>
    <n v="1659.5099419874286"/>
    <x v="53"/>
    <s v="v2.2"/>
    <s v="True"/>
    <n v="1"/>
    <n v="152.27735040000002"/>
    <n v="272.05523197970672"/>
    <n v="1624.3325823797068"/>
    <n v="3733.8973694717142"/>
    <n v="2109.5647870920075"/>
    <n v="0.56497663924557107"/>
    <n v="121.82188032000002"/>
    <n v="1393.2407832776648"/>
    <n v="0.29850649772407339"/>
    <n v="0.33956008755805067"/>
  </r>
  <r>
    <s v="FL-00055"/>
    <n v="99.054000000000002"/>
    <n v="0"/>
    <n v="1.3207200000000001"/>
    <n v="20.756799999999998"/>
    <n v="2315.4858243352619"/>
    <x v="54"/>
    <s v="v2.2"/>
    <s v="True"/>
    <n v="1"/>
    <n v="169.73893440000001"/>
    <n v="287.36133590115611"/>
    <n v="1657.1002703011561"/>
    <n v="5209.843104754339"/>
    <n v="3552.7428344531827"/>
    <n v="0.68192894930195902"/>
    <n v="135.79114752000001"/>
    <n v="2544.7220003823149"/>
    <n v="0.39075602842013907"/>
    <n v="0.28373031233655738"/>
  </r>
  <r>
    <s v="FL-00056"/>
    <n v="99.165333333333336"/>
    <n v="12.506"/>
    <n v="1.1554577777777779"/>
    <n v="30.67253333333332"/>
    <n v="642.16001010192406"/>
    <x v="55"/>
    <s v="v2.1"/>
    <s v="True"/>
    <n v="1"/>
    <n v="148.4994336"/>
    <n v="248.31706690237823"/>
    <n v="1596.8165005023782"/>
    <n v="1444.8600227293291"/>
    <n v="-151.95647777304907"/>
    <n v="-0.10517038009398619"/>
    <n v="118.79954688000002"/>
    <n v="-411.22859559891481"/>
    <n v="-0.22769186724239612"/>
    <n v="-1.7062261617638659"/>
  </r>
  <r>
    <s v="FL-00057"/>
    <n v="99.036833333333334"/>
    <n v="0"/>
    <n v="1.3204911111111111"/>
    <n v="20.770533333333333"/>
    <n v="2315.0995202002964"/>
    <x v="56"/>
    <s v="v2.2"/>
    <s v="True"/>
    <n v="1"/>
    <n v="169.7095176"/>
    <n v="287.35232213800691"/>
    <n v="1657.0618397380069"/>
    <n v="5208.9739204506668"/>
    <n v="3551.9120807126601"/>
    <n v="0.68188325281639306"/>
    <n v="135.76761408000002"/>
    <n v="2544.0592001425266"/>
    <n v="0.39071943749296734"/>
    <n v="0.28374938840488323"/>
  </r>
  <r>
    <s v="FL-00058"/>
    <n v="99.102666666666664"/>
    <n v="10.081333333333333"/>
    <n v="1.1869511111111111"/>
    <n v="28.782933333333332"/>
    <n v="1321.2434711517606"/>
    <x v="57"/>
    <s v="v2.1"/>
    <s v="True"/>
    <n v="1"/>
    <n v="152.5469568"/>
    <n v="264.16234766020779"/>
    <n v="1616.7093044602079"/>
    <n v="2972.7978100914611"/>
    <n v="1356.0885056312532"/>
    <n v="0.45616573755129741"/>
    <n v="122.03756544000002"/>
    <n v="792.03833497296114"/>
    <n v="0.21314287363487888"/>
    <n v="0.41593905435820294"/>
  </r>
  <r>
    <s v="FL-00059"/>
    <n v="99.07716666666667"/>
    <n v="0"/>
    <n v="1.321028888888889"/>
    <n v="20.738266666666661"/>
    <n v="2126.7741487579851"/>
    <x v="58"/>
    <s v="v2.2"/>
    <s v="True"/>
    <n v="1"/>
    <n v="169.77863280000003"/>
    <n v="282.95806347101967"/>
    <n v="1652.7366962710198"/>
    <n v="4785.2418347054663"/>
    <n v="3132.5051384344465"/>
    <n v="0.65461793711565963"/>
    <n v="135.82290624000001"/>
    <n v="2209.4124980533534"/>
    <n v="0.36937109126303436"/>
    <n v="0.29468192375972718"/>
  </r>
  <r>
    <s v="FL-00060"/>
    <n v="99.121333333333325"/>
    <n v="10.315833333333334"/>
    <n v="1.1840733333333333"/>
    <n v="28.955600000000004"/>
    <n v="1274.8199099589272"/>
    <x v="59"/>
    <s v="v2.2"/>
    <s v="True"/>
    <n v="1"/>
    <n v="152.1771048"/>
    <n v="263.07913123237495"/>
    <n v="1615.256236032375"/>
    <n v="2868.3447974075862"/>
    <n v="1253.0885613752112"/>
    <n v="0.43686817655525734"/>
    <n v="121.74168384000001"/>
    <n v="709.85502285369421"/>
    <n v="0.19798317789277275"/>
    <n v="0.43351567899186738"/>
  </r>
  <r>
    <s v="FL-00061"/>
    <n v="99.104333333333344"/>
    <n v="10.237833333333333"/>
    <n v="1.1848866666666669"/>
    <n v="28.90679999999999"/>
    <n v="697.02747509124038"/>
    <x v="60"/>
    <s v="v2.2"/>
    <s v="True"/>
    <n v="1"/>
    <n v="152.28163440000006"/>
    <n v="249.59730775212896"/>
    <n v="1601.878942152129"/>
    <n v="1568.3118189552908"/>
    <n v="-33.567123196838111"/>
    <n v="-2.1403347721499915E-2"/>
    <n v="121.82530752000002"/>
    <n v="-316.77316010789627"/>
    <n v="-0.16158682541532352"/>
    <n v="-8.4370065093256201"/>
  </r>
  <r>
    <s v="FL-00062"/>
    <n v="99.063833333333335"/>
    <n v="0"/>
    <n v="1.3208511111111112"/>
    <n v="20.748933333333326"/>
    <n v="2267.0073298249195"/>
    <x v="61"/>
    <s v="v2.1"/>
    <s v="True"/>
    <n v="1"/>
    <n v="169.75578480000001"/>
    <n v="286.23017102924814"/>
    <n v="1655.9859558292483"/>
    <n v="5100.7664921060687"/>
    <n v="3444.7805362768204"/>
    <n v="0.67534566454040834"/>
    <n v="135.80462784000002"/>
    <n v="2458.5783948156068"/>
    <n v="0.38560140302372137"/>
    <n v="0.28628881610179974"/>
  </r>
  <r>
    <s v="FL-00063"/>
    <n v="99.164166666666674"/>
    <n v="12.326666666666666"/>
    <n v="1.1578333333333335"/>
    <n v="30.529999999999987"/>
    <n v="538.20179053801326"/>
    <x v="62"/>
    <s v="v2.2"/>
    <s v="True"/>
    <n v="1"/>
    <n v="148.80473999999998"/>
    <n v="245.89137511255365"/>
    <n v="1594.6961151125536"/>
    <n v="1210.9540287105299"/>
    <n v="-383.74208640202369"/>
    <n v="-0.31689236527884296"/>
    <n v="119.04379200000004"/>
    <n v="-596.17194414412984"/>
    <n v="-0.39385273429674722"/>
    <n v="-0.55357456288898177"/>
  </r>
  <r>
    <s v="FL-00064"/>
    <n v="99.106999999999999"/>
    <n v="10.569666666666667"/>
    <n v="1.1804977777777779"/>
    <n v="29.170133333333325"/>
    <n v="1375.2786294074422"/>
    <x v="63"/>
    <s v="v2.1"/>
    <s v="True"/>
    <n v="1"/>
    <n v="151.71757440000002"/>
    <n v="265.42316801950699"/>
    <n v="1617.140742419507"/>
    <n v="3094.3769161667451"/>
    <n v="1477.2361737472381"/>
    <n v="0.47739374154109515"/>
    <n v="121.37405952000002"/>
    <n v="888.70430539388894"/>
    <n v="0.22975980741086938"/>
    <n v="0.39840066118909545"/>
  </r>
  <r>
    <s v="FL-00065"/>
    <n v="99.13966666666667"/>
    <n v="10.062833333333334"/>
    <n v="1.1876911111111113"/>
    <n v="28.738533333333322"/>
    <n v="1246.6367090077829"/>
    <x v="64"/>
    <s v="v2.2"/>
    <s v="True"/>
    <n v="1"/>
    <n v="152.64206160000001"/>
    <n v="262.42152321018159"/>
    <n v="1615.0635848101815"/>
    <n v="2804.9325952675117"/>
    <n v="1189.8690104573302"/>
    <n v="0.42420591940957147"/>
    <n v="122.11364928000002"/>
    <n v="659.41090372382769"/>
    <n v="0.18807180032386867"/>
    <n v="0.44581218778831727"/>
  </r>
  <r>
    <s v="FL-00066"/>
    <n v="99.109666666666669"/>
    <n v="10.207833333333333"/>
    <n v="1.185357777777778"/>
    <n v="28.878533333333323"/>
    <n v="1202.1852361644767"/>
    <x v="65"/>
    <s v="v2.1"/>
    <s v="True"/>
    <n v="1"/>
    <n v="152.34218160000003"/>
    <n v="261.38432217717116"/>
    <n v="1613.7265037771713"/>
    <n v="2704.9167813700724"/>
    <n v="1091.1902775929011"/>
    <n v="0.40340992562447719"/>
    <n v="121.87374528000002"/>
    <n v="580.67535763888714"/>
    <n v="0.17173921553173055"/>
    <n v="0.46785141916786377"/>
  </r>
  <r>
    <s v="FL-00067"/>
    <n v="99.114999999999995"/>
    <n v="10.206"/>
    <n v="1.1854533333333332"/>
    <n v="28.872800000000012"/>
    <n v="1413.2874943843708"/>
    <x v="66"/>
    <s v="v2.2"/>
    <s v="True"/>
    <n v="1"/>
    <n v="152.35446240000002"/>
    <n v="266.31004153563532"/>
    <n v="1618.6645039356354"/>
    <n v="3179.8968623648343"/>
    <n v="1561.2323584291989"/>
    <n v="0.49096949555405939"/>
    <n v="121.88356992"/>
    <n v="955.72387843623233"/>
    <n v="0.24044147840077482"/>
    <n v="0.38784007820731198"/>
  </r>
  <r>
    <s v="FL-00068"/>
    <n v="99.149666666666661"/>
    <n v="10.220333333333334"/>
    <n v="1.1857244444444444"/>
    <n v="28.856533333333346"/>
    <n v="598.40540630248267"/>
    <x v="67"/>
    <s v="v2.1"/>
    <s v="True"/>
    <n v="1"/>
    <n v="152.38930559999997"/>
    <n v="247.29612614705792"/>
    <n v="1599.6854317470579"/>
    <n v="1346.4121641805859"/>
    <n v="-253.27326756647199"/>
    <n v="-0.18810975888695403"/>
    <n v="121.91144447999999"/>
    <n v="-492.07783928258937"/>
    <n v="-0.29237872465720832"/>
    <n v="-0.94287318204019588"/>
  </r>
  <r>
    <s v="FL-00069"/>
    <n v="99.061999999999998"/>
    <n v="0"/>
    <n v="1.3208266666666666"/>
    <n v="20.750399999999999"/>
    <n v="1929.548529915068"/>
    <x v="68"/>
    <s v="v2.2"/>
    <s v="True"/>
    <n v="1"/>
    <n v="169.75264319999999"/>
    <n v="278.35613236468492"/>
    <n v="1648.1087755646849"/>
    <n v="4341.4841923089034"/>
    <n v="2693.3754167442185"/>
    <n v="0.62038125614176609"/>
    <n v="135.80211455999998"/>
    <n v="1859.0291069224377"/>
    <n v="0.3425610274414036"/>
    <n v="0.30977720544815385"/>
  </r>
  <r>
    <s v="FL-00070"/>
    <n v="99.132999999999996"/>
    <n v="10.5215"/>
    <n v="1.1814866666666666"/>
    <n v="29.110800000000012"/>
    <n v="766.64676374234261"/>
    <x v="69"/>
    <s v="v2.1"/>
    <s v="True"/>
    <n v="1"/>
    <n v="151.84466639999999"/>
    <n v="251.22175782065466"/>
    <n v="1603.0664242206547"/>
    <n v="1724.955218420271"/>
    <n v="121.88879419961631"/>
    <n v="7.0662004959898689E-2"/>
    <n v="121.47573311999997"/>
    <n v="-192.73331620443787"/>
    <n v="-8.9385887423069327E-2"/>
    <n v="2.5812226010604391"/>
  </r>
  <r>
    <s v="FL-00071"/>
    <n v="99.11366666666666"/>
    <n v="10.000999999999999"/>
    <n v="1.1881688888888888"/>
    <n v="28.70986666666667"/>
    <n v="1086.8444425334012"/>
    <x v="70"/>
    <s v="v2.2"/>
    <s v="True"/>
    <n v="1"/>
    <n v="152.70346560000002"/>
    <n v="258.69303699244603"/>
    <n v="1611.396502592446"/>
    <n v="2445.3999957001529"/>
    <n v="834.00349310770684"/>
    <n v="0.34104992826293018"/>
    <n v="122.16277248"/>
    <n v="375.46418708767646"/>
    <n v="0.12283117289535309"/>
    <n v="0.54980501857539898"/>
  </r>
  <r>
    <s v="FL-00072"/>
    <n v="99.060333333333332"/>
    <n v="0"/>
    <n v="1.3208044444444444"/>
    <n v="20.751733333333334"/>
    <n v="2416.3545562622721"/>
    <x v="71"/>
    <s v="v2.2"/>
    <s v="True"/>
    <n v="1"/>
    <n v="169.74978720000001"/>
    <n v="289.71493964611972"/>
    <n v="1659.4647268461197"/>
    <n v="5436.7977515901121"/>
    <n v="3777.3330247439926"/>
    <n v="0.69477166474313445"/>
    <n v="135.79982976000002"/>
    <n v="2723.9234318659701"/>
    <n v="0.40081291323655344"/>
    <n v="0.27887654754756946"/>
  </r>
  <r>
    <s v="FL-00073"/>
    <n v="99.02600000000001"/>
    <n v="0"/>
    <n v="1.3203466666666668"/>
    <n v="20.779199999999989"/>
    <n v="2188.3936702412789"/>
    <x v="72"/>
    <s v="v2.2"/>
    <s v="True"/>
    <n v="1"/>
    <n v="169.69095360000003"/>
    <n v="284.39585230562989"/>
    <n v="1654.0868059056299"/>
    <n v="4923.8857580428776"/>
    <n v="3269.7989521372474"/>
    <n v="0.66406880923185985"/>
    <n v="135.75276288000003"/>
    <n v="2318.9599912486719"/>
    <n v="0.37676909744882486"/>
    <n v="0.29079431940825479"/>
  </r>
  <r>
    <s v="FL-00074"/>
    <n v="99.13000000000001"/>
    <n v="10.094166666666666"/>
    <n v="1.1871444444444446"/>
    <n v="28.771333333333331"/>
    <n v="1507.0650725647658"/>
    <x v="73"/>
    <s v="v2.1"/>
    <s v="True"/>
    <n v="1"/>
    <n v="152.57180400000001"/>
    <n v="268.49818502651124"/>
    <n v="1621.0699890265114"/>
    <n v="3390.8964132707233"/>
    <n v="1769.8264242442119"/>
    <n v="0.52193467701276908"/>
    <n v="122.05744320000001"/>
    <n v="1122.161502390067"/>
    <n v="0.26474686705222583"/>
    <n v="0.36594827209155512"/>
  </r>
  <r>
    <s v="FL-00075"/>
    <n v="99.122166666666672"/>
    <n v="10.444833333333333"/>
    <n v="1.1823644444444446"/>
    <n v="29.05813333333333"/>
    <n v="1305.9744356666574"/>
    <x v="74"/>
    <s v="v2.2"/>
    <s v="True"/>
    <n v="1"/>
    <n v="151.95747840000001"/>
    <n v="263.80607016555535"/>
    <n v="1615.7635485655553"/>
    <n v="2938.4424802499793"/>
    <n v="1322.678931684424"/>
    <n v="0.45012925744658477"/>
    <n v="121.56598271999999"/>
    <n v="765.38193131442836"/>
    <n v="0.20837758410008167"/>
    <n v="0.42133959120395237"/>
  </r>
  <r>
    <s v="FL-00076"/>
    <n v="99.067833333333326"/>
    <n v="0"/>
    <n v="1.3209044444444444"/>
    <n v="20.745733333333334"/>
    <n v="2339.729246215526"/>
    <x v="75"/>
    <s v="v2.2"/>
    <s v="True"/>
    <n v="1"/>
    <n v="169.7626392"/>
    <n v="287.927015745029"/>
    <n v="1657.6896549450289"/>
    <n v="5264.3908039849339"/>
    <n v="3606.701149039905"/>
    <n v="0.6851127287719172"/>
    <n v="135.81011136000001"/>
    <n v="2587.7755160829183"/>
    <n v="0.39324975860440686"/>
    <n v="0.28250902718353088"/>
  </r>
  <r>
    <s v="FL-00077"/>
    <n v="99.069333333333333"/>
    <n v="0"/>
    <n v="1.3209244444444443"/>
    <n v="20.744533333333337"/>
    <n v="2300.9181846038382"/>
    <x v="76"/>
    <s v="v2.2"/>
    <s v="True"/>
    <n v="1"/>
    <n v="169.76520959999999"/>
    <n v="287.02142430742288"/>
    <n v="1656.7866339074228"/>
    <n v="5177.0659153586357"/>
    <n v="3520.2792814512131"/>
    <n v="0.67997575055162296"/>
    <n v="135.81216768000002"/>
    <n v="2518.8191402994858"/>
    <n v="0.38922728533580936"/>
    <n v="0.28448315064902513"/>
  </r>
  <r>
    <s v="FL-00078"/>
    <n v="99.114000000000004"/>
    <n v="10.046666666666665"/>
    <n v="1.1875644444444444"/>
    <n v="28.746133333333333"/>
    <n v="1800.9230080177174"/>
    <x v="77"/>
    <s v="v2.2"/>
    <s v="True"/>
    <n v="1"/>
    <n v="152.62578240000002"/>
    <n v="275.35487018708005"/>
    <n v="1627.9806525870799"/>
    <n v="4052.076768039864"/>
    <n v="2424.096115452784"/>
    <n v="0.59823548620116762"/>
    <n v="122.10062592000001"/>
    <n v="1644.2059183248109"/>
    <n v="0.32461495918206368"/>
    <n v="0.3217241231304484"/>
  </r>
  <r>
    <s v="FL-00079"/>
    <n v="99.085000000000008"/>
    <n v="0.50283333333333335"/>
    <n v="1.3144288888888891"/>
    <n v="21.134266666666662"/>
    <n v="1126.9644060937735"/>
    <x v="78"/>
    <s v="v2.1"/>
    <s v="True"/>
    <n v="1"/>
    <n v="168.93040080000006"/>
    <n v="259.62916947552139"/>
    <n v="1628.5595702755213"/>
    <n v="2535.6699137109904"/>
    <n v="907.11034343546908"/>
    <n v="0.35773991659186416"/>
    <n v="135.14432064000002"/>
    <n v="433.76244085327107"/>
    <n v="0.13685139016172759"/>
    <n v="0.52181954048666568"/>
  </r>
  <r>
    <s v="FL-00080"/>
    <n v="99.067999999999998"/>
    <n v="0"/>
    <n v="1.3209066666666667"/>
    <n v="20.745599999999996"/>
    <n v="2059.2087538594783"/>
    <x v="79"/>
    <s v="v2.1"/>
    <s v="True"/>
    <n v="1"/>
    <n v="169.76292480000001"/>
    <n v="281.38153759005451"/>
    <n v="1651.1444623900545"/>
    <n v="4633.2196961838263"/>
    <n v="2982.075233793772"/>
    <n v="0.64362914546227379"/>
    <n v="135.81033984000001"/>
    <n v="2089.3838795170068"/>
    <n v="0.36076577698017437"/>
    <n v="0.29935239197204644"/>
  </r>
  <r>
    <s v="FL-00081"/>
    <n v="99.096999999999994"/>
    <n v="10.106833333333332"/>
    <n v="1.1865355555555555"/>
    <n v="28.807866666666669"/>
    <n v="1677.2954300586475"/>
    <x v="80"/>
    <s v="v2.2"/>
    <s v="True"/>
    <n v="1"/>
    <n v="152.49354960000002"/>
    <n v="272.47022670136846"/>
    <n v="1624.9637763013684"/>
    <n v="3773.914717631957"/>
    <n v="2148.9509413305886"/>
    <n v="0.56942223185133467"/>
    <n v="121.99483968"/>
    <n v="1424.6667077241971"/>
    <n v="0.30200294692788227"/>
    <n v="0.33704084149912183"/>
  </r>
  <r>
    <s v="FL-00082"/>
    <n v="99.181666666666658"/>
    <n v="14.9155"/>
    <n v="1.1235488888888889"/>
    <n v="32.587066666666658"/>
    <n v="742.65554479647471"/>
    <x v="81"/>
    <s v="v2.2"/>
    <s v="True"/>
    <n v="1"/>
    <n v="144.39850320000002"/>
    <n v="250.66196271191777"/>
    <n v="1595.0604659119178"/>
    <n v="1670.9749757920681"/>
    <n v="75.914509880150263"/>
    <n v="4.5431266763385013E-2"/>
    <n v="115.51880256000003"/>
    <n v="-229.4007846382633"/>
    <n v="-0.10982847162245445"/>
    <n v="4.021830543336562"/>
  </r>
  <r>
    <s v="FL-00083"/>
    <n v="99.135000000000005"/>
    <n v="10.129666666666667"/>
    <n v="1.1867377777777779"/>
    <n v="28.795733333333331"/>
    <n v="766.25739787025452"/>
    <x v="82"/>
    <s v="v2.2"/>
    <s v="True"/>
    <n v="1"/>
    <n v="152.5195392"/>
    <n v="251.21267261697258"/>
    <n v="1603.7322118169727"/>
    <n v="1724.0791452080728"/>
    <n v="120.34693339110004"/>
    <n v="6.9803601375026086E-2"/>
    <n v="122.01563136"/>
    <n v="-193.96498781051446"/>
    <n v="-9.0002823060471762E-2"/>
    <n v="2.6117152497785097"/>
  </r>
  <r>
    <s v="FL-00084"/>
    <n v="99.147333333333336"/>
    <n v="10.554499999999999"/>
    <n v="1.1812377777777778"/>
    <n v="29.125733333333329"/>
    <n v="1028.9324465132163"/>
    <x v="83"/>
    <s v="v2.1"/>
    <s v="True"/>
    <n v="1"/>
    <n v="151.81267920000002"/>
    <n v="257.34175708530836"/>
    <n v="1609.1544362853083"/>
    <n v="2315.0980046547365"/>
    <n v="705.94356836942825"/>
    <n v="0.30493031696716855"/>
    <n v="121.45014336000001"/>
    <n v="273.28650327848095"/>
    <n v="9.4436262388550657E-2"/>
    <n v="0.61287769232077338"/>
  </r>
  <r>
    <s v="FL-00085"/>
    <n v="99.114999999999995"/>
    <n v="10.183999999999999"/>
    <n v="1.1857466666666667"/>
    <n v="28.855199999999996"/>
    <n v="1634.7106980545964"/>
    <x v="84"/>
    <s v="v2.2"/>
    <s v="True"/>
    <n v="1"/>
    <n v="152.39216160000001"/>
    <n v="271.47658295460724"/>
    <n v="1623.8687445546072"/>
    <n v="3678.0990706228417"/>
    <n v="2054.2303260682347"/>
    <n v="0.55850326122955019"/>
    <n v="121.91372928000001"/>
    <n v="1349.0889442636662"/>
    <n v="0.29343177948389831"/>
    <n v="0.34326305714422894"/>
  </r>
  <r>
    <s v="FL-00086"/>
    <n v="99.159166666666664"/>
    <n v="11.648166666666667"/>
    <n v="1.1668133333333333"/>
    <n v="29.991200000000006"/>
    <n v="561.54091926012302"/>
    <x v="85"/>
    <s v="v2.2"/>
    <s v="True"/>
    <n v="1"/>
    <n v="149.95884960000001"/>
    <n v="246.43595478273625"/>
    <n v="1596.3948043827363"/>
    <n v="1263.4670683352767"/>
    <n v="-332.92773604745958"/>
    <n v="-0.26350329533014233"/>
    <n v="119.96707968"/>
    <n v="-555.62937979451499"/>
    <n v="-0.35181249672085435"/>
    <n v="-0.66891886627105412"/>
  </r>
  <r>
    <s v="FL-00087"/>
    <n v="99.039999999999992"/>
    <n v="0"/>
    <n v="1.3205333333333333"/>
    <n v="20.768000000000001"/>
    <n v="2214.9061532687097"/>
    <x v="86"/>
    <s v="v2.2"/>
    <s v="True"/>
    <n v="1"/>
    <n v="169.714944"/>
    <n v="285.01447690960322"/>
    <n v="1654.7294209096033"/>
    <n v="4983.5388448545964"/>
    <n v="3328.8094239449929"/>
    <n v="0.66796096660948512"/>
    <n v="135.77195520000001"/>
    <n v="2366.0446437740738"/>
    <n v="0.37981759025989614"/>
    <n v="0.28922195823092223"/>
  </r>
  <r>
    <s v="FL-00088"/>
    <n v="99.165333333333336"/>
    <n v="12.483833333333333"/>
    <n v="1.1557533333333334"/>
    <n v="30.654799999999994"/>
    <n v="869.50862383998469"/>
    <x v="87"/>
    <s v="v2.2"/>
    <s v="True"/>
    <n v="1"/>
    <n v="148.53741840000001"/>
    <n v="253.62186788959966"/>
    <n v="1602.1592862895995"/>
    <n v="1956.3944036399655"/>
    <n v="354.23511735036595"/>
    <n v="0.18106528862037968"/>
    <n v="118.82993472000001"/>
    <n v="-7.336279697627333"/>
    <n v="-2.9999184965885544E-3"/>
    <n v="1.0207101987869012"/>
  </r>
  <r>
    <s v="FL-00089"/>
    <n v="99.046166666666679"/>
    <n v="0"/>
    <n v="1.3206155555555557"/>
    <n v="20.76306666666666"/>
    <n v="2078.9038239014872"/>
    <x v="88"/>
    <s v="v2.2"/>
    <s v="True"/>
    <n v="1"/>
    <n v="169.72551120000003"/>
    <n v="281.84108922436803"/>
    <n v="1651.5666004243681"/>
    <n v="4677.5336037783463"/>
    <n v="3025.9670033539783"/>
    <n v="0.64691507526738212"/>
    <n v="135.78040896000002"/>
    <n v="2124.4053848383091"/>
    <n v="0.36333770141123772"/>
    <n v="0.29794165551586627"/>
  </r>
  <r>
    <s v="FL-00090"/>
    <n v="99.086166666666671"/>
    <n v="1.1531666666666667"/>
    <n v="1.3057733333333335"/>
    <n v="21.653599999999997"/>
    <n v="2188.9085307642313"/>
    <x v="89"/>
    <s v="v2.2"/>
    <s v="True"/>
    <n v="1"/>
    <n v="167.81798880000002"/>
    <n v="284.40786571783207"/>
    <n v="1652.225854517832"/>
    <n v="4925.0441942195203"/>
    <n v="3272.8183397016883"/>
    <n v="0.66452567949399632"/>
    <n v="134.25439104000003"/>
    <n v="2321.3730986177843"/>
    <n v="0.37707244963890624"/>
    <n v="0.29071128988192685"/>
  </r>
  <r>
    <s v="FL-00091"/>
    <n v="99.117833333333323"/>
    <n v="10.566166666666668"/>
    <n v="1.1806888888888887"/>
    <n v="29.158666666666676"/>
    <n v="1211.4103231145884"/>
    <x v="90"/>
    <s v="v2.2"/>
    <s v="True"/>
    <n v="1"/>
    <n v="151.74213599999999"/>
    <n v="261.59957420600705"/>
    <n v="1613.3417102060071"/>
    <n v="2725.6732270078242"/>
    <n v="1112.3315168018171"/>
    <n v="0.40809422999796158"/>
    <n v="121.39370879999998"/>
    <n v="597.54529860025241"/>
    <n v="0.17538281337010386"/>
    <n v="0.46279927380074731"/>
  </r>
  <r>
    <s v="FL-00092"/>
    <n v="99.165166666666664"/>
    <n v="12.474"/>
    <n v="1.155882222222222"/>
    <n v="30.647066666666674"/>
    <n v="1174.3330897361138"/>
    <x v="91"/>
    <s v="v2.2"/>
    <s v="True"/>
    <n v="1"/>
    <n v="148.5539832"/>
    <n v="260.73443876050936"/>
    <n v="1609.2884219605094"/>
    <n v="2642.2494519062561"/>
    <n v="1032.9610299457468"/>
    <n v="0.39094001105781856"/>
    <n v="118.84318655999999"/>
    <n v="534.22193620449571"/>
    <n v="0.16174761571253773"/>
    <n v="0.48282469452641968"/>
  </r>
  <r>
    <s v="FL-00093"/>
    <n v="99.135000000000005"/>
    <n v="10.194333333333333"/>
    <n v="1.1858755555555556"/>
    <n v="28.847466666666662"/>
    <n v="783.49375297221661"/>
    <x v="92"/>
    <s v="v2.2"/>
    <s v="True"/>
    <n v="1"/>
    <n v="152.40872640000001"/>
    <n v="251.61485423601843"/>
    <n v="1604.0235806360183"/>
    <n v="1762.8609441874873"/>
    <n v="158.83736355146902"/>
    <n v="9.0102037869287568E-2"/>
    <n v="121.92698111999999"/>
    <n v="-163.25308000602854"/>
    <n v="-7.4085516747901092E-2"/>
    <n v="2.0278002376508137"/>
  </r>
  <r>
    <s v="FL-00094"/>
    <n v="99.099833333333336"/>
    <n v="10.414999999999999"/>
    <n v="1.1824644444444443"/>
    <n v="29.052133333333344"/>
    <n v="1713.9835501869643"/>
    <x v="93"/>
    <s v="v2.1"/>
    <s v="True"/>
    <n v="1"/>
    <n v="151.97033039999999"/>
    <n v="273.32628283769583"/>
    <n v="1625.296613237696"/>
    <n v="3856.4629879206695"/>
    <n v="2231.1663746829736"/>
    <n v="0.57855251863469215"/>
    <n v="121.57626431999999"/>
    <n v="1490.2678431788397"/>
    <n v="0.30914708069994745"/>
    <n v="0.33206780987339329"/>
  </r>
  <r>
    <s v="FL-00095"/>
    <n v="99.143833333333333"/>
    <n v="10.007666666666667"/>
    <n v="1.1884822222222222"/>
    <n v="28.691066666666671"/>
    <n v="1131.0521179798131"/>
    <x v="94"/>
    <s v="v2.1"/>
    <s v="True"/>
    <n v="1"/>
    <n v="152.7437352"/>
    <n v="259.72454941952901"/>
    <n v="1612.468284619529"/>
    <n v="2544.8672654545794"/>
    <n v="932.39898083505045"/>
    <n v="0.36638413071359138"/>
    <n v="122.19498815999999"/>
    <n v="453.97427478413465"/>
    <n v="0.14271055498937169"/>
    <n v="0.51311157121004336"/>
  </r>
  <r>
    <s v="FL-00096"/>
    <n v="99.069000000000003"/>
    <n v="0"/>
    <n v="1.3209200000000001"/>
    <n v="20.744799999999998"/>
    <n v="1765.1433114814756"/>
    <x v="95"/>
    <s v="v2.2"/>
    <s v="True"/>
    <n v="1"/>
    <n v="169.76463840000005"/>
    <n v="274.52001060123445"/>
    <n v="1644.2846490012344"/>
    <n v="3971.5724508333201"/>
    <n v="2327.2878018320857"/>
    <n v="0.58598649039973361"/>
    <n v="135.81171072000001"/>
    <n v="1566.9262393454214"/>
    <n v="0.31562838321464282"/>
    <n v="0.3267157426288631"/>
  </r>
  <r>
    <s v="FL-00097"/>
    <n v="99.146000000000001"/>
    <n v="10.316000000000001"/>
    <n v="1.1843999999999999"/>
    <n v="28.936000000000007"/>
    <n v="1210.4110758812492"/>
    <x v="96"/>
    <s v="v2.1"/>
    <s v="True"/>
    <n v="1"/>
    <n v="152.219088"/>
    <n v="261.57625843722917"/>
    <n v="1613.7953464372292"/>
    <n v="2723.4249207328107"/>
    <n v="1109.6295742955815"/>
    <n v="0.40743901763115459"/>
    <n v="121.77527040000001"/>
    <n v="595.38840774901928"/>
    <n v="0.17489401766620072"/>
    <n v="0.46343498628631485"/>
  </r>
  <r>
    <s v="FL-00098"/>
    <n v="99.138833333333338"/>
    <n v="10.6655"/>
    <n v="1.1796444444444445"/>
    <n v="29.221333333333334"/>
    <n v="622.74247462911819"/>
    <x v="97"/>
    <s v="v2.1"/>
    <s v="True"/>
    <n v="1"/>
    <n v="151.60790400000002"/>
    <n v="247.86399107467946"/>
    <n v="1599.4718950746794"/>
    <n v="1401.1705679155159"/>
    <n v="-198.30132715916352"/>
    <n v="-0.14152547284387448"/>
    <n v="121.2863232"/>
    <n v="-448.21385994226671"/>
    <n v="-0.25590823570270249"/>
    <n v="-1.2602665668622315"/>
  </r>
  <r>
    <s v="FL-00099"/>
    <n v="99.085000000000008"/>
    <n v="1.0643333333333334"/>
    <n v="1.3069422222222222"/>
    <n v="21.583466666666666"/>
    <n v="1470.5026563239981"/>
    <x v="98"/>
    <s v="v2.2"/>
    <s v="True"/>
    <n v="1"/>
    <n v="167.96821440000002"/>
    <n v="267.64506198089327"/>
    <n v="1635.6132763808932"/>
    <n v="3308.6309767289958"/>
    <n v="1673.0177003481026"/>
    <n v="0.50565255300912837"/>
    <n v="134.37457152000002"/>
    <n v="1044.8851478823035"/>
    <n v="0.25264471141845041"/>
    <n v="0.37544883854791516"/>
  </r>
  <r>
    <s v="FL-00100"/>
    <n v="99.14266666666667"/>
    <n v="10.5365"/>
    <n v="1.1814155555555557"/>
    <n v="29.115066666666664"/>
    <n v="1118.9791682543705"/>
    <x v="99"/>
    <s v="v2.2"/>
    <s v="True"/>
    <n v="1"/>
    <n v="151.8355272"/>
    <n v="259.44284725926866"/>
    <n v="1611.2783744592687"/>
    <n v="2517.7031285723338"/>
    <n v="906.42475411306509"/>
    <n v="0.36002050592321194"/>
    <n v="121.46842176000001"/>
    <n v="433.25123383859818"/>
    <n v="0.13766555045249479"/>
    <n v="0.52202184254937556"/>
  </r>
  <r>
    <m/>
    <m/>
    <m/>
    <m/>
    <m/>
    <m/>
    <x v="100"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.536333333333333"/>
    <n v="1.1813555555555555"/>
    <n v="29.11866666666667"/>
    <x v="0"/>
    <n v="38.328564788085622"/>
    <s v="v2.2"/>
    <s v="True"/>
    <n v="1"/>
    <n v="151.82781599999998"/>
    <n v="255.82459811576689"/>
    <n v="1607.652414115767"/>
    <n v="2168.8005325918075"/>
    <n v="561.14811847604051"/>
    <n v="0.2587366196399099"/>
    <n v="121.4622528"/>
    <n v="157.75357515767905"/>
    <n v="5.819016466918954E-2"/>
    <n v="0.71887355590516033"/>
    <n v="15.134087645156473"/>
  </r>
  <r>
    <n v="0"/>
    <n v="1.3204688888888887"/>
    <n v="20.771866666666682"/>
    <x v="1"/>
    <n v="8.1998755083305337"/>
    <s v="v2.2"/>
    <s v="True"/>
    <n v="1"/>
    <n v="169.70666159999996"/>
    <n v="291.17407024529638"/>
    <n v="1660.8807318452964"/>
    <n v="5577.4996307964348"/>
    <n v="3916.6188989511384"/>
    <n v="0.70221768860823175"/>
    <n v="135.76532927999997"/>
    <n v="2835.0603051118519"/>
    <n v="0.40664247319109503"/>
    <n v="0.27614598758355718"/>
    <n v="243.32783398608316"/>
  </r>
  <r>
    <n v="0.7"/>
    <n v="1.3118000000000001"/>
    <n v="21.292000000000002"/>
    <x v="2"/>
    <n v="44.750618004282707"/>
    <s v="v2.1"/>
    <s v="True"/>
    <n v="1"/>
    <n v="168.59253600000002"/>
    <n v="268.71156223236267"/>
    <n v="1637.3040982323628"/>
    <n v="3411.4720724063982"/>
    <n v="1774.1679741740354"/>
    <n v="0.52005935752027588"/>
    <n v="134.87402880000002"/>
    <n v="1125.5920668927561"/>
    <n v="0.26395457280675466"/>
    <n v="0.36556623539731298"/>
    <n v="97.245846100405814"/>
  </r>
  <r>
    <n v="0"/>
    <n v="1.320508888888889"/>
    <n v="20.769466666666659"/>
    <x v="3"/>
    <n v="44.454489569557552"/>
    <s v="v2.1"/>
    <s v="True"/>
    <n v="1"/>
    <n v="169.71180240000001"/>
    <n v="286.84432271399976"/>
    <n v="1656.5561251139998"/>
    <n v="5159.9882617071171"/>
    <n v="3503.4321365931173"/>
    <n v="0.67896126093784004"/>
    <n v="135.76944192000002"/>
    <n v="2505.3768447316938"/>
    <n v="0.38843140219126338"/>
    <n v="0.28487929919829241"/>
    <n v="215.02521600480014"/>
  </r>
  <r>
    <n v="0"/>
    <n v="1.3204111111111112"/>
    <n v="20.775333333333322"/>
    <x v="4"/>
    <n v="-2.2340356766006275"/>
    <s v="v2.2"/>
    <s v="True"/>
    <n v="1"/>
    <n v="169.69923599999998"/>
    <n v="280.60757587995795"/>
    <n v="1650.3068118799579"/>
    <n v="4558.5876741387992"/>
    <n v="2908.2808622588414"/>
    <n v="0.63797848591521689"/>
    <n v="135.75938880000004"/>
    <n v="2030.503174631081"/>
    <n v="0.35633899264902136"/>
    <n v="0.30182012302140465"/>
    <n v="174.28185145398339"/>
  </r>
  <r>
    <n v="12.705500000000001"/>
    <n v="1.1528155555555557"/>
    <n v="30.831066666666658"/>
    <x v="5"/>
    <n v="21.116246305405681"/>
    <s v="v2.2"/>
    <s v="True"/>
    <n v="1"/>
    <n v="148.15985520000001"/>
    <n v="255.89230301992617"/>
    <n v="1604.0521582199262"/>
    <n v="2175.3292197785922"/>
    <n v="571.27706155866599"/>
    <n v="0.26261636922102821"/>
    <n v="118.52788416000003"/>
    <n v="165.84318864294755"/>
    <n v="6.0990561662138593E-2"/>
    <n v="0.70969744839664517"/>
    <n v="16.304049064012023"/>
  </r>
  <r>
    <n v="10.777666666666667"/>
    <n v="1.1775822222222223"/>
    <n v="29.345066666666668"/>
    <x v="6"/>
    <n v="23.531614105382953"/>
    <s v="v2.2"/>
    <s v="True"/>
    <n v="1"/>
    <n v="151.3428672"/>
    <n v="285.56766528888545"/>
    <n v="1636.9105324888856"/>
    <n v="5036.8820099996692"/>
    <n v="3399.9714775107836"/>
    <n v="0.675015112675035"/>
    <n v="121.07429376000002"/>
    <n v="2422.8636489508503"/>
    <n v="0.38481959976680247"/>
    <n v="0.28738706633953937"/>
    <n v="233.18220024549996"/>
  </r>
  <r>
    <n v="10.3055"/>
    <n v="1.18414"/>
    <n v="28.951599999999999"/>
    <x v="7"/>
    <n v="24.384000097013381"/>
    <s v="v2.2"/>
    <s v="True"/>
    <n v="1"/>
    <n v="152.18567280000002"/>
    <n v="279.104922309166"/>
    <n v="1631.2905951091661"/>
    <n v="4413.6889369552937"/>
    <n v="2782.3983418461276"/>
    <n v="0.63040200195111995"/>
    <n v="121.74853824"/>
    <n v="1930.0976890150691"/>
    <n v="0.34983846239903138"/>
    <n v="0.30631870354895158"/>
    <n v="184.72849895708376"/>
  </r>
  <r>
    <n v="14.660833333333333"/>
    <n v="1.1269222222222224"/>
    <n v="32.384666666666661"/>
    <x v="8"/>
    <n v="29.54708405099862"/>
    <s v="v2.2"/>
    <s v="True"/>
    <n v="1"/>
    <n v="144.83204400000005"/>
    <n v="250.0161594626143"/>
    <n v="1594.8482034626145"/>
    <n v="1608.7010910378081"/>
    <n v="13.852887575193563"/>
    <n v="8.6112253248095735E-3"/>
    <n v="115.86563520000003"/>
    <n v="-278.92092183236787"/>
    <n v="-0.13870615163314395"/>
    <n v="21.134496892318175"/>
    <n v="-28.050771547776659"/>
  </r>
  <r>
    <n v="0"/>
    <n v="1.3206777777777778"/>
    <n v="20.759333333333331"/>
    <x v="9"/>
    <n v="7.1478090448323144"/>
    <s v="v2.2"/>
    <s v="True"/>
    <n v="1"/>
    <n v="169.73350800000003"/>
    <n v="283.94230583986342"/>
    <n v="1653.6758138398634"/>
    <n v="4880.1509202725465"/>
    <n v="3226.4751064326829"/>
    <n v="0.66114248496488937"/>
    <n v="135.78680640000002"/>
    <n v="2284.3916239781743"/>
    <n v="0.37447884892061423"/>
    <n v="0.29198535596207126"/>
    <n v="196.03397720511674"/>
  </r>
  <r>
    <n v="14.781666666666666"/>
    <n v="1.1253244444444443"/>
    <n v="32.480533333333341"/>
    <x v="10"/>
    <n v="23.024756051742649"/>
    <s v="v2.1"/>
    <s v="True"/>
    <n v="1"/>
    <n v="144.6266976"/>
    <n v="252.70128624849031"/>
    <n v="1597.3279838484902"/>
    <n v="1867.6240311044228"/>
    <n v="270.29604725593254"/>
    <n v="0.14472722708332925"/>
    <n v="115.70135807999999"/>
    <n v="-74.303419444951942"/>
    <n v="-3.1827998872347982E-2"/>
    <n v="1.2748964337410269"/>
    <n v="-7.4832233897829941"/>
  </r>
  <r>
    <n v="0"/>
    <n v="1.3208"/>
    <n v="20.751999999999995"/>
    <x v="11"/>
    <n v="-2.3371035101502411"/>
    <s v="v2.2"/>
    <s v="True"/>
    <n v="1"/>
    <n v="169.74921600000002"/>
    <n v="269.40048434629159"/>
    <n v="1639.1497003462916"/>
    <n v="3477.9038476781179"/>
    <n v="1838.7541473318263"/>
    <n v="0.52869608472913832"/>
    <n v="135.79937280000001"/>
    <n v="1177.1232209962025"/>
    <n v="0.27076613329193933"/>
    <n v="0.35982566092139134"/>
    <n v="101.0049200329873"/>
  </r>
  <r>
    <n v="0.57233333333333336"/>
    <n v="1.3135022222222223"/>
    <n v="21.18986666666666"/>
    <x v="12"/>
    <n v="41.647991704923697"/>
    <s v="v2.2"/>
    <s v="True"/>
    <n v="1"/>
    <n v="168.81130560000003"/>
    <n v="272.66470384231707"/>
    <n v="1641.476009442317"/>
    <n v="3792.6678705091435"/>
    <n v="2151.1918610668263"/>
    <n v="0.5671975333759034"/>
    <n v="135.04904448000002"/>
    <n v="1426.4205480849976"/>
    <n v="0.3008796123017245"/>
    <n v="0.33691616545183362"/>
    <n v="123.07630144403574"/>
  </r>
  <r>
    <n v="10.536166666666666"/>
    <n v="1.1808622222222225"/>
    <n v="29.148266666666657"/>
    <x v="13"/>
    <n v="35.292584402213102"/>
    <s v="v2.2"/>
    <s v="True"/>
    <n v="1"/>
    <n v="151.76441280000006"/>
    <n v="273.62185508091716"/>
    <n v="1625.3862678809173"/>
    <n v="3884.9645970884394"/>
    <n v="2259.5783292075221"/>
    <n v="0.58162134370566665"/>
    <n v="121.41153024000003"/>
    <n v="1512.9382923498342"/>
    <n v="0.31154740374904744"/>
    <n v="0.33043334997797974"/>
    <n v="145.20435709846956"/>
  </r>
  <r>
    <n v="10.132166666666667"/>
    <n v="1.1864333333333335"/>
    <n v="28.813999999999993"/>
    <x v="14"/>
    <n v="18.243523388153253"/>
    <s v="v2.2"/>
    <s v="True"/>
    <n v="1"/>
    <n v="152.48041199999997"/>
    <n v="272.43912405825051"/>
    <n v="1624.9195360582505"/>
    <n v="3770.9155341884411"/>
    <n v="2145.9959981301909"/>
    <n v="0.56909150541130915"/>
    <n v="121.98432960000001"/>
    <n v="1422.3089736925024"/>
    <n v="0.30174295038907156"/>
    <n v="0.33722664211314368"/>
    <n v="135.86521255737105"/>
  </r>
  <r>
    <n v="1.2598333333333334"/>
    <n v="1.3043755555555554"/>
    <n v="21.737466666666677"/>
    <x v="15"/>
    <n v="19.742995365804195"/>
    <s v="v2.1"/>
    <s v="True"/>
    <n v="1"/>
    <n v="167.63834639999999"/>
    <n v="284.15984219644952"/>
    <n v="1651.7981885964496"/>
    <n v="4901.127640371913"/>
    <n v="3249.3294517754634"/>
    <n v="0.66297588844858035"/>
    <n v="134.11067712000002"/>
    <n v="2302.6315929810808"/>
    <n v="0.37585335652369989"/>
    <n v="0.29135176129250245"/>
    <n v="200.06884731908349"/>
  </r>
  <r>
    <n v="12.788166666666665"/>
    <n v="1.1517222222222221"/>
    <n v="30.896666666666675"/>
    <x v="16"/>
    <n v="24.735304622695747"/>
    <s v="v2.2"/>
    <s v="True"/>
    <n v="1"/>
    <n v="148.01934"/>
    <n v="259.89938905965084"/>
    <n v="1607.9187290596508"/>
    <n v="2561.7268021806149"/>
    <n v="953.80807312096408"/>
    <n v="0.37233012993776521"/>
    <n v="118.41547200000001"/>
    <n v="471.06658068484103"/>
    <n v="0.14710907666933279"/>
    <n v="0.50612015775515529"/>
    <n v="46.354533046986433"/>
  </r>
  <r>
    <n v="10.427166666666666"/>
    <n v="1.182671111111111"/>
    <n v="29.039733333333345"/>
    <x v="17"/>
    <n v="3.522445636344206"/>
    <s v="v2.2"/>
    <s v="True"/>
    <n v="1"/>
    <n v="151.99689120000002"/>
    <n v="250.40241991554421"/>
    <n v="1602.3993111155442"/>
    <n v="1645.9476347131902"/>
    <n v="43.548323597646004"/>
    <n v="2.6457903446748712E-2"/>
    <n v="121.59751296"/>
    <n v="-255.24182510499213"/>
    <n v="-0.12405829673893293"/>
    <n v="6.8611171227447469"/>
    <n v="-24.459383993962067"/>
  </r>
  <r>
    <n v="1.887"/>
    <n v="1.2960688888888887"/>
    <n v="22.235866666666681"/>
    <x v="18"/>
    <n v="23.85749221573915"/>
    <s v="v2.2"/>
    <s v="True"/>
    <n v="1"/>
    <n v="166.5707736"/>
    <n v="287.32330987811133"/>
    <n v="1653.8940834781113"/>
    <n v="5206.1763096750219"/>
    <n v="3552.2822261969104"/>
    <n v="0.68232076958197552"/>
    <n v="133.25661887999999"/>
    <n v="2544.3611189819067"/>
    <n v="0.39097578992913207"/>
    <n v="0.2837390283299896"/>
    <n v="222.48888873889979"/>
  </r>
  <r>
    <n v="0"/>
    <n v="1.32104"/>
    <n v="20.7376"/>
    <x v="19"/>
    <n v="3.8209206932568502"/>
    <s v="v2.1"/>
    <s v="True"/>
    <n v="1"/>
    <n v="169.7800608"/>
    <n v="269.89002587231374"/>
    <n v="1639.6700866723138"/>
    <n v="3525.1096376873952"/>
    <n v="1885.4395510150814"/>
    <n v="0.53485983268650927"/>
    <n v="135.82404864000003"/>
    <n v="1214.3736356376021"/>
    <n v="0.27559395546840965"/>
    <n v="0.35592014340432787"/>
    <n v="104.18232001977853"/>
  </r>
  <r>
    <n v="0"/>
    <n v="1.3207666666666666"/>
    <n v="20.754000000000005"/>
    <x v="20"/>
    <n v="3.397101896474668"/>
    <s v="v2.1"/>
    <s v="True"/>
    <n v="1"/>
    <n v="169.74493199999998"/>
    <n v="277.13135309111902"/>
    <n v="1646.8762850911189"/>
    <n v="4223.3804766436187"/>
    <n v="2576.5041915524998"/>
    <n v="0.61005732393783396"/>
    <n v="135.79594559999998"/>
    <n v="1765.7770826237759"/>
    <n v="0.33447653459383597"/>
    <n v="0.31466166893375469"/>
    <n v="151.51911972644271"/>
  </r>
  <r>
    <n v="10.732833333333334"/>
    <n v="1.1782577777777776"/>
    <n v="29.304533333333339"/>
    <x v="21"/>
    <n v="24.448924649092916"/>
    <s v="v2.2"/>
    <s v="True"/>
    <n v="1"/>
    <n v="151.42968959999999"/>
    <n v="284.39456976237614"/>
    <n v="1635.8242593623761"/>
    <n v="4923.7620842291235"/>
    <n v="3287.9378248667472"/>
    <n v="0.66776943496072982"/>
    <n v="121.14375168000001"/>
    <n v="2333.4713459409231"/>
    <n v="0.37913632803909247"/>
    <n v="0.29029334791770478"/>
    <n v="224.45010833884132"/>
  </r>
  <r>
    <n v="1.6556666666666666"/>
    <n v="1.2991377777777777"/>
    <n v="22.051733333333331"/>
    <x v="22"/>
    <n v="11.835638905223821"/>
    <s v="v2.1"/>
    <s v="True"/>
    <n v="1"/>
    <n v="166.9651872"/>
    <n v="273.90152018168908"/>
    <n v="1640.8667073816891"/>
    <n v="3911.9323032343054"/>
    <n v="2271.0655958526163"/>
    <n v="0.58054828657820734"/>
    <n v="133.57214976"/>
    <n v="1522.072172645755"/>
    <n v="0.31126758944930355"/>
    <n v="0.32979823417459236"/>
    <n v="132.78153853313566"/>
  </r>
  <r>
    <n v="11.597666666666667"/>
    <n v="1.1674844444444445"/>
    <n v="29.950933333333325"/>
    <x v="23"/>
    <n v="25.654884230270916"/>
    <s v="v2.2"/>
    <s v="True"/>
    <n v="1"/>
    <n v="150.04510080000003"/>
    <n v="262.55144047687219"/>
    <n v="1612.5965412768724"/>
    <n v="2817.4603316983876"/>
    <n v="1204.8637904215152"/>
    <n v="0.42764179387583912"/>
    <n v="120.03608064000002"/>
    <n v="671.38074424183787"/>
    <n v="0.19063430613402796"/>
    <n v="0.44277456955780964"/>
    <n v="65.174159743900901"/>
  </r>
  <r>
    <n v="10.019666666666666"/>
    <n v="1.188128888888889"/>
    <n v="28.712266666666665"/>
    <x v="24"/>
    <n v="40.055788116136831"/>
    <s v="v2.1"/>
    <s v="True"/>
    <n v="1"/>
    <n v="152.69832479999999"/>
    <n v="257.09698358035007"/>
    <n v="1609.79530838035"/>
    <n v="2291.4948452480394"/>
    <n v="681.6995368676894"/>
    <n v="0.29749119369888866"/>
    <n v="122.15865984000001"/>
    <n v="253.94023277808128"/>
    <n v="8.8654873757953029E-2"/>
    <n v="0.62748950374104717"/>
    <n v="24.222871203053437"/>
  </r>
  <r>
    <n v="10.411"/>
    <n v="1.1825177777777778"/>
    <n v="29.048933333333338"/>
    <x v="25"/>
    <n v="-3.2672404754898645"/>
    <s v="v2.1"/>
    <s v="True"/>
    <n v="1"/>
    <n v="151.97718480000003"/>
    <n v="253.02847635784738"/>
    <n v="1605.0056611578475"/>
    <n v="1899.1745059352852"/>
    <n v="294.1688447774377"/>
    <n v="0.15489300422794405"/>
    <n v="121.58174784000001"/>
    <n v="-55.270619449619062"/>
    <n v="-2.3281955092336281E-2"/>
    <n v="1.1878874001474755"/>
    <n v="-5.297174939217399"/>
  </r>
  <r>
    <n v="0"/>
    <n v="1.3210177777777778"/>
    <n v="20.738933333333335"/>
    <x v="26"/>
    <n v="31.971272916837769"/>
    <s v="v2.2"/>
    <s v="True"/>
    <n v="1"/>
    <n v="169.77720479999999"/>
    <n v="286.89934207848893"/>
    <n v="1656.6765468784888"/>
    <n v="5165.2937004257201"/>
    <n v="3508.6171535472313"/>
    <n v="0.67926769648317453"/>
    <n v="135.82176384000002"/>
    <n v="2509.5138544220863"/>
    <n v="0.38867317135755575"/>
    <n v="0.28475700123481584"/>
    <n v="215.29730708565853"/>
  </r>
  <r>
    <n v="1.873"/>
    <n v="1.2962555555555553"/>
    <n v="22.224666666666678"/>
    <x v="27"/>
    <n v="22.487837940976156"/>
    <s v="v2.2"/>
    <s v="True"/>
    <n v="1"/>
    <n v="166.594764"/>
    <n v="285.76225407146723"/>
    <n v="1652.3570180714673"/>
    <n v="5055.6459283200511"/>
    <n v="3403.2889102485838"/>
    <n v="0.67316599273388356"/>
    <n v="133.27581119999999"/>
    <n v="2425.4786773845735"/>
    <n v="0.38380514961268897"/>
    <n v="0.28731331916002067"/>
    <n v="212.06280062507096"/>
  </r>
  <r>
    <n v="8.1499999999999989E-2"/>
    <n v="1.3199777777777777"/>
    <n v="20.801333333333332"/>
    <x v="28"/>
    <n v="41.798023337492864"/>
    <s v="v2.2"/>
    <s v="True"/>
    <n v="1"/>
    <n v="169.64354399999999"/>
    <n v="274.07718016745383"/>
    <n v="1643.7207241674537"/>
    <n v="3928.8709447187593"/>
    <n v="2285.1502205513057"/>
    <n v="0.58163025782840616"/>
    <n v="135.71483520000001"/>
    <n v="1533.3047404075539"/>
    <n v="0.3122127984312934"/>
    <n v="0.32901359104626593"/>
    <n v="131.64959302477357"/>
  </r>
  <r>
    <n v="10.201666666666666"/>
    <n v="1.1859711111111111"/>
    <n v="28.841733333333337"/>
    <x v="29"/>
    <n v="13.50594129331099"/>
    <s v="v2.1"/>
    <s v="True"/>
    <n v="1"/>
    <n v="152.42100719999999"/>
    <n v="253.54764079256373"/>
    <n v="1605.9686479925638"/>
    <n v="1949.2367907115026"/>
    <n v="343.26814271893886"/>
    <n v="0.17610387016840601"/>
    <n v="121.93680575999998"/>
    <n v="-16.095013983361696"/>
    <n v="-6.6056680481540704E-3"/>
    <n v="1.0468875843120111"/>
    <n v="-1.5380657822870829"/>
  </r>
  <r>
    <n v="0.1275"/>
    <n v="1.3193711111111111"/>
    <n v="20.837733333333333"/>
    <x v="30"/>
    <n v="30.122169214816985"/>
    <s v="v2.2"/>
    <s v="True"/>
    <n v="1"/>
    <n v="169.56557520000004"/>
    <n v="287.46336891768789"/>
    <n v="1657.0289441176878"/>
    <n v="5219.6820027770445"/>
    <n v="3562.6530586593567"/>
    <n v="0.68254216574187976"/>
    <n v="135.65246016"/>
    <n v="2552.6297731439477"/>
    <n v="0.39123146150066057"/>
    <n v="0.2835031278334707"/>
    <n v="219.26964939582552"/>
  </r>
  <r>
    <n v="13.945"/>
    <n v="1.1364022222222221"/>
    <n v="31.815866666666679"/>
    <x v="31"/>
    <n v="30.388558099507815"/>
    <s v="v2.2"/>
    <s v="True"/>
    <n v="1"/>
    <n v="146.05041360000001"/>
    <n v="250.8971205213802"/>
    <n v="1596.9475341213802"/>
    <n v="1693.6509074188034"/>
    <n v="96.703373297423241"/>
    <n v="5.709758302246791E-2"/>
    <n v="116.84033087999997"/>
    <n v="-212.8167254663374"/>
    <n v="-0.10052448212751433"/>
    <n v="3.2007166679883352"/>
    <n v="-21.224200740315361"/>
  </r>
  <r>
    <n v="10.220000000000001"/>
    <n v="1.1852666666666667"/>
    <n v="28.884"/>
    <x v="32"/>
    <n v="1.6929435935742745"/>
    <s v="v2.1"/>
    <s v="True"/>
    <n v="1"/>
    <n v="152.33047199999999"/>
    <n v="252.87773957226639"/>
    <n v="1605.2082115722665"/>
    <n v="1884.6391730399712"/>
    <n v="279.43096146770472"/>
    <n v="0.14826761826083421"/>
    <n v="121.86437760000001"/>
    <n v="-67.030778740289179"/>
    <n v="-2.8453522435137258E-2"/>
    <n v="1.239883148195932"/>
    <n v="-6.4093775723320556"/>
  </r>
  <r>
    <n v="10.521333333333333"/>
    <n v="1.1815555555555555"/>
    <n v="29.106666666666669"/>
    <x v="33"/>
    <n v="29.962821518239185"/>
    <s v="v2.2"/>
    <s v="True"/>
    <n v="1"/>
    <n v="151.85352"/>
    <n v="265.624026721181"/>
    <n v="1617.4775467211809"/>
    <n v="3113.7454338281641"/>
    <n v="1496.2678871069832"/>
    <n v="0.48053635690680441"/>
    <n v="121.48281600000001"/>
    <n v="903.88950434135018"/>
    <n v="0.232232087959759"/>
    <n v="0.39590396069449157"/>
    <n v="86.699952457041306"/>
  </r>
  <r>
    <n v="10.671333333333333"/>
    <n v="1.1790688888888889"/>
    <n v="29.255866666666662"/>
    <x v="34"/>
    <n v="12.99388179081458"/>
    <s v="v2.2"/>
    <s v="True"/>
    <n v="1"/>
    <n v="151.53393360000001"/>
    <n v="271.21566399640534"/>
    <n v="1622.7495975964052"/>
    <n v="3652.9390282247982"/>
    <n v="2030.189430628393"/>
    <n v="0.55576877000736435"/>
    <n v="121.22714688000001"/>
    <n v="1329.9084117034331"/>
    <n v="0.29125225500404206"/>
    <n v="0.34493383147414275"/>
    <n v="127.8321858432079"/>
  </r>
  <r>
    <n v="0"/>
    <n v="1.3208622222222222"/>
    <n v="20.748266666666666"/>
    <x v="35"/>
    <n v="39.715722845257631"/>
    <s v="v2.1"/>
    <s v="True"/>
    <n v="1"/>
    <n v="169.75721280000002"/>
    <n v="282.33238305529056"/>
    <n v="1652.0895958552906"/>
    <n v="4724.9083660458764"/>
    <n v="3072.8187701905858"/>
    <n v="0.65034462726779374"/>
    <n v="135.80577024000002"/>
    <n v="2161.788539541411"/>
    <n v="0.36602420568855049"/>
    <n v="0.29648029994058839"/>
    <n v="185.48694710628743"/>
  </r>
  <r>
    <n v="0"/>
    <n v="1.3207844444444443"/>
    <n v="20.752933333333345"/>
    <x v="36"/>
    <n v="43.76904145005804"/>
    <s v="v2.2"/>
    <s v="True"/>
    <n v="1"/>
    <n v="169.74721680000002"/>
    <n v="279.7551349746584"/>
    <n v="1649.5023517746586"/>
    <n v="4476.3880154134858"/>
    <n v="2826.8856636388273"/>
    <n v="0.63151041730633051"/>
    <n v="135.79777343999999"/>
    <n v="1965.5575039161304"/>
    <n v="0.35127562617863384"/>
    <n v="0.30469154476307225"/>
    <n v="168.65975724817181"/>
  </r>
  <r>
    <n v="14.095000000000001"/>
    <n v="1.1344133333333333"/>
    <n v="31.935200000000009"/>
    <x v="37"/>
    <n v="30.747113472230712"/>
    <s v="v2.2"/>
    <s v="True"/>
    <n v="1"/>
    <n v="145.79480160000003"/>
    <n v="250.09112007755513"/>
    <n v="1595.8859216775552"/>
    <n v="1615.9294360499559"/>
    <n v="20.04351437240075"/>
    <n v="1.2403706452303967E-2"/>
    <n v="116.63584127999999"/>
    <n v="-273.9834125175903"/>
    <n v="-0.13564127561774061"/>
    <n v="14.669429792953689"/>
    <n v="-27.372257100874666"/>
  </r>
  <r>
    <n v="10.611166666666666"/>
    <n v="1.1803666666666668"/>
    <n v="29.177999999999997"/>
    <x v="38"/>
    <n v="39.94577824816853"/>
    <s v="v2.1"/>
    <s v="True"/>
    <n v="1"/>
    <n v="151.70072400000001"/>
    <n v="253.73302120105527"/>
    <n v="1605.4337452010552"/>
    <n v="1967.1127586731836"/>
    <n v="361.67901347212842"/>
    <n v="0.18386287815858643"/>
    <n v="121.36057920000002"/>
    <n v="-1.4033934625083475"/>
    <n v="-5.7074245747048506E-4"/>
    <n v="1.0038802181222397"/>
    <n v="-0.13474733197391719"/>
  </r>
  <r>
    <n v="0"/>
    <n v="1.3207555555555555"/>
    <n v="20.754666666666679"/>
    <x v="39"/>
    <n v="2.4635289549210668"/>
    <s v="v2.2"/>
    <s v="True"/>
    <n v="1"/>
    <n v="169.743504"/>
    <n v="276.30829078308608"/>
    <n v="1646.0517947830861"/>
    <n v="4144.0137540832966"/>
    <n v="2497.9619593002108"/>
    <n v="0.60278804741872505"/>
    <n v="135.79480319999999"/>
    <n v="1703.1079092835512"/>
    <n v="0.32878421942598951"/>
    <n v="0.31820102266062261"/>
    <n v="146.14278590278479"/>
  </r>
  <r>
    <n v="10.394166666666667"/>
    <n v="1.1834244444444444"/>
    <n v="28.994533333333337"/>
    <x v="40"/>
    <n v="36.104668450990737"/>
    <s v="v2.1"/>
    <s v="True"/>
    <n v="1"/>
    <n v="152.09370960000001"/>
    <n v="253.49916430069311"/>
    <n v="1605.5928739006931"/>
    <n v="1944.5622718525499"/>
    <n v="338.96939795185676"/>
    <n v="0.17431655589456985"/>
    <n v="121.67496768000001"/>
    <n v="-19.524314498653212"/>
    <n v="-8.0323740849102231E-3"/>
    <n v="1.05759904763269"/>
    <n v="-1.8697903812688859"/>
  </r>
  <r>
    <n v="0"/>
    <n v="1.3207555555555555"/>
    <n v="20.754666666666679"/>
    <x v="41"/>
    <n v="9.5133836612214289"/>
    <s v="v2.2"/>
    <s v="True"/>
    <n v="1"/>
    <n v="169.743504"/>
    <n v="284.5089003608843"/>
    <n v="1654.2524043608842"/>
    <n v="4934.7868205138402"/>
    <n v="3280.5344161529561"/>
    <n v="0.66477733192360411"/>
    <n v="135.79480319999999"/>
    <n v="2327.5257528501879"/>
    <n v="0.37732543876865293"/>
    <n v="0.29050408939783356"/>
    <n v="199.7237496977481"/>
  </r>
  <r>
    <n v="0"/>
    <n v="1.3208622222222222"/>
    <n v="20.748266666666666"/>
    <x v="42"/>
    <n v="3.7750015791294822"/>
    <s v="v2.2"/>
    <s v="True"/>
    <n v="1"/>
    <n v="169.75721280000002"/>
    <n v="274.69873134654176"/>
    <n v="1644.4559441465417"/>
    <n v="3988.8062369879526"/>
    <n v="2344.3502928414109"/>
    <n v="0.58773230725082515"/>
    <n v="135.80577024000002"/>
    <n v="1580.5404880038204"/>
    <n v="0.31699518985857306"/>
    <n v="0.32580873565265456"/>
    <n v="135.61438805661427"/>
  </r>
  <r>
    <n v="10.6165"/>
    <n v="1.1800955555555555"/>
    <n v="29.194266666666678"/>
    <x v="43"/>
    <n v="35.429604404651812"/>
    <s v="v2.2"/>
    <s v="True"/>
    <n v="1"/>
    <n v="151.6658808"/>
    <n v="264.73131653634806"/>
    <n v="1616.3971973363482"/>
    <n v="3027.6626660049906"/>
    <n v="1411.2654686686424"/>
    <n v="0.46612374770628301"/>
    <n v="121.33270463999999"/>
    <n v="836.06611162764466"/>
    <n v="0.22091394025235611"/>
    <n v="0.40757700787763801"/>
    <n v="80.293632894153362"/>
  </r>
  <r>
    <n v="0"/>
    <n v="1.3208977777777777"/>
    <n v="20.746133333333333"/>
    <x v="44"/>
    <n v="-0.97147246683555"/>
    <s v="v2.2"/>
    <s v="True"/>
    <n v="1"/>
    <n v="169.76178240000004"/>
    <n v="268.28279537980126"/>
    <n v="1638.0445777798013"/>
    <n v="3370.1266973379734"/>
    <n v="1732.0821195581721"/>
    <n v="0.5139516330131817"/>
    <n v="135.80942592"/>
    <n v="1092.0091365705775"/>
    <n v="0.25922090998730551"/>
    <n v="0.36953962849686794"/>
    <n v="93.694635239835961"/>
  </r>
  <r>
    <n v="15.526999999999999"/>
    <n v="1.1154622222222221"/>
    <n v="33.072266666666678"/>
    <x v="45"/>
    <n v="22.326926510292559"/>
    <s v="v2.2"/>
    <s v="True"/>
    <n v="1"/>
    <n v="143.35920480000001"/>
    <n v="249.94210719521629"/>
    <n v="1593.3013119952163"/>
    <n v="1601.5603366815737"/>
    <n v="8.2590246863574066"/>
    <n v="5.1568614039668786E-3"/>
    <n v="114.68736383999997"/>
    <n v="-283.38120168995738"/>
    <n v="-0.14155255731526023"/>
    <n v="35.311702949387957"/>
    <n v="-28.792132581187722"/>
  </r>
  <r>
    <n v="0"/>
    <n v="1.3208888888888888"/>
    <n v="20.74666666666667"/>
    <x v="46"/>
    <n v="34.382062331002786"/>
    <s v="v2.2"/>
    <s v="True"/>
    <n v="1"/>
    <n v="169.76064"/>
    <n v="287.82361506220525"/>
    <n v="1657.5842550622051"/>
    <n v="5254.4200238555022"/>
    <n v="3596.8357687932971"/>
    <n v="0.68453525840404172"/>
    <n v="135.80851200000001"/>
    <n v="2579.903892022196"/>
    <n v="0.3927975122368168"/>
    <n v="0.28272958292790545"/>
    <n v="221.35783730338494"/>
  </r>
  <r>
    <n v="12.7515"/>
    <n v="1.1522066666666668"/>
    <n v="30.867599999999996"/>
    <x v="47"/>
    <n v="22.724012422017729"/>
    <s v="v2.2"/>
    <s v="True"/>
    <n v="1"/>
    <n v="148.08160080000005"/>
    <n v="257.64735732853677"/>
    <n v="1605.7289581285368"/>
    <n v="2344.5665995374698"/>
    <n v="738.837641408933"/>
    <n v="0.31512759823273478"/>
    <n v="118.46528064"/>
    <n v="299.54064166143894"/>
    <n v="0.10220759494587413"/>
    <n v="0.59457853136688155"/>
    <n v="29.46341170417611"/>
  </r>
  <r>
    <n v="10.368333333333334"/>
    <n v="1.1833777777777776"/>
    <n v="28.997333333333344"/>
    <x v="48"/>
    <n v="-2.4727208578310913"/>
    <s v="v2.2"/>
    <s v="True"/>
    <n v="1"/>
    <n v="152.08771200000001"/>
    <n v="245.55190036696419"/>
    <n v="1597.6396123669642"/>
    <n v="1178.2189639572618"/>
    <n v="-419.42064840970238"/>
    <n v="-0.3559785245698322"/>
    <n v="121.67016959999999"/>
    <n v="-624.64689880115463"/>
    <n v="-0.42412958399730044"/>
    <n v="-0.48930888636408104"/>
    <n v="-59.82308990997312"/>
  </r>
  <r>
    <n v="10.221666666666666"/>
    <n v="1.1855111111111112"/>
    <n v="28.86933333333333"/>
    <x v="49"/>
    <n v="9.2547861827449545"/>
    <s v="v2.2"/>
    <s v="True"/>
    <n v="1"/>
    <n v="152.36188800000005"/>
    <n v="253.86064510206157"/>
    <n v="1606.2225331020616"/>
    <n v="1979.4193491273622"/>
    <n v="373.19681602530068"/>
    <n v="0.18853853085240704"/>
    <n v="121.88951040000001"/>
    <n v="7.7853237998281202"/>
    <n v="3.1465081123958185E-3"/>
    <n v="0.97913882577363598"/>
    <n v="0.74426691495695085"/>
  </r>
  <r>
    <n v="0.16283333333333333"/>
    <n v="1.3189088888888887"/>
    <n v="20.865466666666677"/>
    <x v="50"/>
    <n v="34.948286154940462"/>
    <s v="v2.2"/>
    <s v="True"/>
    <n v="1"/>
    <n v="169.5061704"/>
    <n v="281.68038732047376"/>
    <n v="1651.1865577204737"/>
    <n v="4662.0373487599682"/>
    <n v="3010.8507910394947"/>
    <n v="0.64582296661358485"/>
    <n v="135.60493631999998"/>
    <n v="2112.344555367501"/>
    <n v="0.36247578427132987"/>
    <n v="0.29842270442162455"/>
    <n v="181.51295485619019"/>
  </r>
  <r>
    <n v="10.258666666666667"/>
    <n v="1.1848288888888889"/>
    <n v="28.910266666666658"/>
    <x v="51"/>
    <n v="1.0283831516735942"/>
    <s v="v2.2"/>
    <s v="True"/>
    <n v="1"/>
    <n v="152.27420880000003"/>
    <n v="249.94783230691345"/>
    <n v="1602.2220411069134"/>
    <n v="1602.112401023795"/>
    <n v="-0.10964008311839279"/>
    <n v="-6.8434700991222401E-5"/>
    <n v="121.81936704"/>
    <n v="-290.07727852787752"/>
    <n v="-0.14484740438561489"/>
    <n v="-2644.7228987563153"/>
    <n v="-27.746981195450168"/>
  </r>
  <r>
    <n v="0"/>
    <n v="1.3208"/>
    <n v="20.751999999999995"/>
    <x v="52"/>
    <n v="9.9434927714861967"/>
    <s v="v2.2"/>
    <s v="True"/>
    <n v="1"/>
    <n v="169.74921600000002"/>
    <n v="283.73802627728077"/>
    <n v="1653.4872422772808"/>
    <n v="4860.4525338806416"/>
    <n v="3206.965291603361"/>
    <n v="0.65980796422733146"/>
    <n v="135.79937280000001"/>
    <n v="2268.8246280272324"/>
    <n v="0.37343430262297433"/>
    <n v="0.29253221605871943"/>
    <n v="194.6800861925245"/>
  </r>
  <r>
    <n v="10.256833333333333"/>
    <n v="1.1848533333333333"/>
    <n v="28.908799999999999"/>
    <x v="53"/>
    <n v="30.027319407963297"/>
    <s v="v2.2"/>
    <s v="True"/>
    <n v="1"/>
    <n v="152.27735040000002"/>
    <n v="272.05523197970672"/>
    <n v="1624.3325823797068"/>
    <n v="3733.8973694717142"/>
    <n v="2109.5647870920075"/>
    <n v="0.56497663924557107"/>
    <n v="121.82188032000002"/>
    <n v="1393.2407832776648"/>
    <n v="0.29850649772407339"/>
    <n v="0.33956008755805067"/>
    <n v="133.26596437095057"/>
  </r>
  <r>
    <n v="0"/>
    <n v="1.3207200000000001"/>
    <n v="20.756799999999998"/>
    <x v="54"/>
    <n v="38.75520907459039"/>
    <s v="v2.2"/>
    <s v="True"/>
    <n v="1"/>
    <n v="169.73893440000001"/>
    <n v="287.36133590115611"/>
    <n v="1657.1002703011561"/>
    <n v="5209.843104754339"/>
    <n v="3552.7428344531827"/>
    <n v="0.68192894930195902"/>
    <n v="135.79114752000001"/>
    <n v="2544.7220003823149"/>
    <n v="0.39075602842013907"/>
    <n v="0.28373031233655738"/>
    <n v="218.36712301623032"/>
  </r>
  <r>
    <n v="12.506"/>
    <n v="1.1554577777777779"/>
    <n v="30.67253333333332"/>
    <x v="55"/>
    <n v="14.177147377041187"/>
    <s v="v2.1"/>
    <s v="True"/>
    <n v="1"/>
    <n v="148.4994336"/>
    <n v="248.31706690237823"/>
    <n v="1596.8165005023782"/>
    <n v="1444.8600227293291"/>
    <n v="-151.95647777304907"/>
    <n v="-0.10517038009398619"/>
    <n v="118.79954688000002"/>
    <n v="-411.22859559891481"/>
    <n v="-0.22769186724239612"/>
    <n v="-1.7062261617638659"/>
    <n v="-40.335448337060548"/>
  </r>
  <r>
    <n v="0"/>
    <n v="1.3204911111111111"/>
    <n v="20.770533333333333"/>
    <x v="56"/>
    <n v="5.4502067461383854"/>
    <s v="v2.2"/>
    <s v="True"/>
    <n v="1"/>
    <n v="169.7095176"/>
    <n v="287.35232213800691"/>
    <n v="1657.0618397380069"/>
    <n v="5208.9739204506668"/>
    <n v="3551.9120807126601"/>
    <n v="0.68188325281639306"/>
    <n v="135.76761408000002"/>
    <n v="2544.0592001425266"/>
    <n v="0.39071943749296734"/>
    <n v="0.28374938840488323"/>
    <n v="218.34808801316154"/>
  </r>
  <r>
    <n v="10.081333333333333"/>
    <n v="1.1869511111111111"/>
    <n v="28.782933333333332"/>
    <x v="57"/>
    <n v="42.652922344739061"/>
    <s v="v2.1"/>
    <s v="True"/>
    <n v="1"/>
    <n v="152.5469568"/>
    <n v="264.16234766020779"/>
    <n v="1616.7093044602079"/>
    <n v="2972.7978100914611"/>
    <n v="1356.0885056312532"/>
    <n v="0.45616573755129741"/>
    <n v="122.03756544000002"/>
    <n v="792.03833497296114"/>
    <n v="0.21314287363487888"/>
    <n v="0.41593905435820294"/>
    <n v="75.625983067019547"/>
  </r>
  <r>
    <n v="0"/>
    <n v="1.321028888888889"/>
    <n v="20.738266666666661"/>
    <x v="58"/>
    <n v="14.819042770827528"/>
    <s v="v2.2"/>
    <s v="True"/>
    <n v="1"/>
    <n v="169.77863280000003"/>
    <n v="282.95806347101967"/>
    <n v="1652.7366962710198"/>
    <n v="4785.2418347054663"/>
    <n v="3132.5051384344465"/>
    <n v="0.65461793711565963"/>
    <n v="135.82290624000001"/>
    <n v="2209.4124980533534"/>
    <n v="0.36937109126303436"/>
    <n v="0.29468192375972718"/>
    <n v="189.54928633190127"/>
  </r>
  <r>
    <n v="10.315833333333334"/>
    <n v="1.1840733333333333"/>
    <n v="28.955600000000004"/>
    <x v="59"/>
    <n v="37.576732897234173"/>
    <s v="v2.2"/>
    <s v="True"/>
    <n v="1"/>
    <n v="152.1771048"/>
    <n v="263.07913123237495"/>
    <n v="1615.256236032375"/>
    <n v="2868.3447974075862"/>
    <n v="1253.0885613752112"/>
    <n v="0.43686817655525734"/>
    <n v="121.74168384000001"/>
    <n v="709.85502285369421"/>
    <n v="0.19798317789277275"/>
    <n v="0.43351567899186738"/>
    <n v="67.943626174689641"/>
  </r>
  <r>
    <n v="10.237833333333333"/>
    <n v="1.1848866666666669"/>
    <n v="28.90679999999999"/>
    <x v="60"/>
    <n v="-4.738867421989613"/>
    <s v="v2.2"/>
    <s v="True"/>
    <n v="1"/>
    <n v="152.28163440000006"/>
    <n v="249.59730775212896"/>
    <n v="1601.878942152129"/>
    <n v="1568.3118189552908"/>
    <n v="-33.567123196838111"/>
    <n v="-2.1403347721499915E-2"/>
    <n v="121.82530752000002"/>
    <n v="-316.77316010789627"/>
    <n v="-0.16158682541532352"/>
    <n v="-8.4370065093256201"/>
    <n v="-30.299065012317552"/>
  </r>
  <r>
    <n v="0"/>
    <n v="1.3208511111111112"/>
    <n v="20.748933333333326"/>
    <x v="61"/>
    <n v="13.364817517221844"/>
    <s v="v2.1"/>
    <s v="True"/>
    <n v="1"/>
    <n v="169.75578480000001"/>
    <n v="286.23017102924814"/>
    <n v="1655.9859558292483"/>
    <n v="5100.7664921060687"/>
    <n v="3444.7805362768204"/>
    <n v="0.67534566454040834"/>
    <n v="135.80462784000002"/>
    <n v="2458.5783948156068"/>
    <n v="0.38560140302372137"/>
    <n v="0.28628881610179974"/>
    <n v="210.95404501070175"/>
  </r>
  <r>
    <n v="12.326666666666666"/>
    <n v="1.1578333333333335"/>
    <n v="30.529999999999987"/>
    <x v="62"/>
    <n v="11.69742889815682"/>
    <s v="v2.2"/>
    <s v="True"/>
    <n v="1"/>
    <n v="148.80473999999998"/>
    <n v="245.89137511255365"/>
    <n v="1594.6961151125536"/>
    <n v="1210.9540287105299"/>
    <n v="-383.74208640202369"/>
    <n v="-0.31689236527884296"/>
    <n v="119.04379200000004"/>
    <n v="-596.17194414412984"/>
    <n v="-0.39385273429674722"/>
    <n v="-0.55357456288898177"/>
    <n v="-58.355681879661475"/>
  </r>
  <r>
    <n v="10.569666666666667"/>
    <n v="1.1804977777777779"/>
    <n v="29.170133333333325"/>
    <x v="63"/>
    <n v="40.32979151348934"/>
    <s v="v2.1"/>
    <s v="True"/>
    <n v="1"/>
    <n v="151.71757440000002"/>
    <n v="265.42316801950699"/>
    <n v="1617.140742419507"/>
    <n v="3094.3769161667451"/>
    <n v="1477.2361737472381"/>
    <n v="0.47739374154109515"/>
    <n v="121.37405952000002"/>
    <n v="888.70430539388894"/>
    <n v="0.22975980741086938"/>
    <n v="0.39840066118909545"/>
    <n v="85.319788968661683"/>
  </r>
  <r>
    <n v="10.062833333333334"/>
    <n v="1.1876911111111113"/>
    <n v="28.738533333333322"/>
    <x v="64"/>
    <n v="32.208395490502497"/>
    <s v="v2.2"/>
    <s v="True"/>
    <n v="1"/>
    <n v="152.64206160000001"/>
    <n v="262.42152321018159"/>
    <n v="1615.0635848101815"/>
    <n v="2804.9325952675117"/>
    <n v="1189.8690104573302"/>
    <n v="0.42420591940957147"/>
    <n v="122.11364928000002"/>
    <n v="659.41090372382769"/>
    <n v="0.18807180032386867"/>
    <n v="0.44581218778831727"/>
    <n v="62.923124587042288"/>
  </r>
  <r>
    <n v="10.207833333333333"/>
    <n v="1.185357777777778"/>
    <n v="28.878533333333323"/>
    <x v="65"/>
    <n v="7.1484944900317799"/>
    <s v="v2.1"/>
    <s v="True"/>
    <n v="1"/>
    <n v="152.34218160000003"/>
    <n v="261.38432217717116"/>
    <n v="1613.7265037771713"/>
    <n v="2704.9167813700724"/>
    <n v="1091.1902775929011"/>
    <n v="0.40340992562447719"/>
    <n v="121.87374528000002"/>
    <n v="580.67535763888714"/>
    <n v="0.17173921553173055"/>
    <n v="0.46785141916786377"/>
    <n v="55.518996120408538"/>
  </r>
  <r>
    <n v="10.206"/>
    <n v="1.1854533333333332"/>
    <n v="28.872800000000012"/>
    <x v="66"/>
    <n v="36.827749490586363"/>
    <s v="v2.2"/>
    <s v="True"/>
    <n v="1"/>
    <n v="152.35446240000002"/>
    <n v="266.31004153563532"/>
    <n v="1618.6645039356354"/>
    <n v="3179.8968623648343"/>
    <n v="1561.2323584291989"/>
    <n v="0.49096949555405939"/>
    <n v="121.88356992"/>
    <n v="955.72387843623233"/>
    <n v="0.24044147840077482"/>
    <n v="0.38784007820731198"/>
    <n v="91.370423317189207"/>
  </r>
  <r>
    <n v="10.220333333333334"/>
    <n v="1.1857244444444444"/>
    <n v="28.856533333333346"/>
    <x v="67"/>
    <n v="8.1889641610553561"/>
    <s v="v2.1"/>
    <s v="True"/>
    <n v="1"/>
    <n v="152.38930559999997"/>
    <n v="247.29612614705792"/>
    <n v="1599.6854317470579"/>
    <n v="1346.4121641805859"/>
    <n v="-253.27326756647199"/>
    <n v="-0.18810975888695403"/>
    <n v="121.91144447999999"/>
    <n v="-492.07783928258937"/>
    <n v="-0.29237872465720832"/>
    <n v="-0.94287318204019588"/>
    <n v="-47.033543119278335"/>
  </r>
  <r>
    <n v="0"/>
    <n v="1.3208266666666666"/>
    <n v="20.750399999999999"/>
    <x v="68"/>
    <n v="6.0032228717696077"/>
    <s v="v2.2"/>
    <s v="True"/>
    <n v="1"/>
    <n v="169.75264319999999"/>
    <n v="278.35613236468492"/>
    <n v="1648.1087755646849"/>
    <n v="4341.4841923089034"/>
    <n v="2693.3754167442185"/>
    <n v="0.62038125614176609"/>
    <n v="135.80211455999998"/>
    <n v="1859.0291069224377"/>
    <n v="0.3425610274414036"/>
    <n v="0.30977720544815385"/>
    <n v="159.51371271366136"/>
  </r>
  <r>
    <n v="10.5215"/>
    <n v="1.1814866666666666"/>
    <n v="29.110800000000012"/>
    <x v="69"/>
    <n v="6.0947091284517629"/>
    <s v="v2.1"/>
    <s v="True"/>
    <n v="1"/>
    <n v="151.84466639999999"/>
    <n v="251.22175782065466"/>
    <n v="1603.0664242206547"/>
    <n v="1724.955218420271"/>
    <n v="121.88879419961631"/>
    <n v="7.0662004959898689E-2"/>
    <n v="121.47573311999997"/>
    <n v="-192.73331620443787"/>
    <n v="-8.9385887423069327E-2"/>
    <n v="2.5812226010604391"/>
    <n v="-18.487816905680663"/>
  </r>
  <r>
    <n v="10.000999999999999"/>
    <n v="1.1881688888888888"/>
    <n v="28.70986666666667"/>
    <x v="70"/>
    <n v="43.863503200267914"/>
    <s v="v2.2"/>
    <s v="True"/>
    <n v="1"/>
    <n v="152.70346560000002"/>
    <n v="258.69303699244603"/>
    <n v="1611.396502592446"/>
    <n v="2445.3999957001529"/>
    <n v="834.00349310770684"/>
    <n v="0.34104992826293018"/>
    <n v="122.16277248"/>
    <n v="375.46418708767646"/>
    <n v="0.12283117289535309"/>
    <n v="0.54980501857539898"/>
    <n v="35.813602146854357"/>
  </r>
  <r>
    <n v="0"/>
    <n v="1.3208044444444444"/>
    <n v="20.751733333333334"/>
    <x v="71"/>
    <n v="15.2559522722003"/>
    <s v="v2.2"/>
    <s v="True"/>
    <n v="1"/>
    <n v="169.74978720000001"/>
    <n v="289.71493964611972"/>
    <n v="1659.4647268461197"/>
    <n v="5436.7977515901121"/>
    <n v="3777.3330247439926"/>
    <n v="0.69477166474313445"/>
    <n v="135.79982976000002"/>
    <n v="2723.9234318659701"/>
    <n v="0.40081291323655344"/>
    <n v="0.27887654754756946"/>
    <n v="233.72977247058944"/>
  </r>
  <r>
    <n v="0"/>
    <n v="1.3203466666666668"/>
    <n v="20.779199999999989"/>
    <x v="72"/>
    <n v="-0.566968702262306"/>
    <s v="v2.2"/>
    <s v="True"/>
    <n v="1"/>
    <n v="169.69095360000003"/>
    <n v="284.39585230562989"/>
    <n v="1654.0868059056299"/>
    <n v="4923.8857580428776"/>
    <n v="3269.7989521372474"/>
    <n v="0.66406880923185985"/>
    <n v="135.75276288000003"/>
    <n v="2318.9599912486719"/>
    <n v="0.37676909744882486"/>
    <n v="0.29079431940825479"/>
    <n v="199.05034966184346"/>
  </r>
  <r>
    <n v="10.094166666666666"/>
    <n v="1.1871444444444446"/>
    <n v="28.771333333333331"/>
    <x v="73"/>
    <n v="19.893151708801575"/>
    <s v="v2.1"/>
    <s v="True"/>
    <n v="1"/>
    <n v="152.57180400000001"/>
    <n v="268.49818502651124"/>
    <n v="1621.0699890265114"/>
    <n v="3390.8964132707233"/>
    <n v="1769.8264242442119"/>
    <n v="0.52193467701276908"/>
    <n v="122.05744320000001"/>
    <n v="1122.161502390067"/>
    <n v="0.26474686705222583"/>
    <n v="0.36594827209155512"/>
    <n v="107.12959505422612"/>
  </r>
  <r>
    <n v="10.444833333333333"/>
    <n v="1.1823644444444446"/>
    <n v="29.05813333333333"/>
    <x v="74"/>
    <n v="13.35958646503914"/>
    <s v="v2.2"/>
    <s v="True"/>
    <n v="1"/>
    <n v="151.95747840000001"/>
    <n v="263.80607016555535"/>
    <n v="1615.7635485655553"/>
    <n v="2938.4424802499793"/>
    <n v="1322.678931684424"/>
    <n v="0.45012925744658477"/>
    <n v="121.56598271999999"/>
    <n v="765.38193131442836"/>
    <n v="0.20837758410008167"/>
    <n v="0.42133959120395237"/>
    <n v="73.364254106716189"/>
  </r>
  <r>
    <n v="0"/>
    <n v="1.3209044444444444"/>
    <n v="20.745733333333334"/>
    <x v="75"/>
    <n v="33.903866524468192"/>
    <s v="v2.2"/>
    <s v="True"/>
    <n v="1"/>
    <n v="169.7626392"/>
    <n v="287.927015745029"/>
    <n v="1657.6896549450289"/>
    <n v="5264.3908039849339"/>
    <n v="3606.701149039905"/>
    <n v="0.6851127287719172"/>
    <n v="135.81011136000001"/>
    <n v="2587.7755160829183"/>
    <n v="0.39324975860440686"/>
    <n v="0.28250902718353088"/>
    <n v="222.03061424281483"/>
  </r>
  <r>
    <n v="0"/>
    <n v="1.3209244444444443"/>
    <n v="20.744533333333337"/>
    <x v="76"/>
    <n v="34.14527439155308"/>
    <s v="v2.2"/>
    <s v="True"/>
    <n v="1"/>
    <n v="169.76520959999999"/>
    <n v="287.02142430742288"/>
    <n v="1656.7866339074228"/>
    <n v="5177.0659153586357"/>
    <n v="3520.2792814512131"/>
    <n v="0.67997575055162296"/>
    <n v="135.81216768000002"/>
    <n v="2518.8191402994858"/>
    <n v="0.38922728533580936"/>
    <n v="0.28448315064902513"/>
    <n v="216.11089902572235"/>
  </r>
  <r>
    <n v="10.046666666666665"/>
    <n v="1.1875644444444444"/>
    <n v="28.746133333333333"/>
    <x v="77"/>
    <n v="29.468939875332911"/>
    <s v="v2.2"/>
    <s v="True"/>
    <n v="1"/>
    <n v="152.62578240000002"/>
    <n v="275.35487018708005"/>
    <n v="1627.9806525870799"/>
    <n v="4052.076768039864"/>
    <n v="2424.096115452784"/>
    <n v="0.59823548620116762"/>
    <n v="122.10062592000001"/>
    <n v="1644.2059183248109"/>
    <n v="0.32461495918206368"/>
    <n v="0.3217241231304484"/>
    <n v="156.91218971894924"/>
  </r>
  <r>
    <n v="0.50283333333333335"/>
    <n v="1.3144288888888891"/>
    <n v="21.134266666666662"/>
    <x v="78"/>
    <n v="-2.9766036556781739"/>
    <s v="v2.1"/>
    <s v="True"/>
    <n v="1"/>
    <n v="168.93040080000006"/>
    <n v="259.62916947552139"/>
    <n v="1628.5595702755213"/>
    <n v="2535.6699137109904"/>
    <n v="907.11034343546908"/>
    <n v="0.35773991659186416"/>
    <n v="135.14432064000002"/>
    <n v="433.76244085327107"/>
    <n v="0.13685139016172759"/>
    <n v="0.52181954048666568"/>
    <n v="37.40007824862986"/>
  </r>
  <r>
    <n v="0"/>
    <n v="1.3209066666666667"/>
    <n v="20.745599999999996"/>
    <x v="79"/>
    <n v="39.458119951540439"/>
    <s v="v2.1"/>
    <s v="True"/>
    <n v="1"/>
    <n v="169.76292480000001"/>
    <n v="281.38153759005451"/>
    <n v="1651.1444623900545"/>
    <n v="4633.2196961838263"/>
    <n v="2982.075233793772"/>
    <n v="0.64362914546227379"/>
    <n v="135.81033984000001"/>
    <n v="2089.3838795170068"/>
    <n v="0.36076577698017437"/>
    <n v="0.29935239197204644"/>
    <n v="179.26841135275325"/>
  </r>
  <r>
    <n v="10.106833333333332"/>
    <n v="1.1865355555555555"/>
    <n v="28.807866666666669"/>
    <x v="80"/>
    <n v="37.389793172127661"/>
    <s v="v2.2"/>
    <s v="True"/>
    <n v="1"/>
    <n v="152.49354960000002"/>
    <n v="272.47022670136846"/>
    <n v="1624.9637763013684"/>
    <n v="3773.914717631957"/>
    <n v="2148.9509413305886"/>
    <n v="0.56942223185133467"/>
    <n v="121.99483968"/>
    <n v="1424.6667077241971"/>
    <n v="0.30200294692788227"/>
    <n v="0.33704084149912183"/>
    <n v="136.07870924677832"/>
  </r>
  <r>
    <n v="14.9155"/>
    <n v="1.1235488888888889"/>
    <n v="32.587066666666658"/>
    <x v="81"/>
    <n v="28.423573843768807"/>
    <s v="v2.2"/>
    <s v="True"/>
    <n v="1"/>
    <n v="144.39850320000002"/>
    <n v="250.66196271191777"/>
    <n v="1595.0604659119178"/>
    <n v="1670.9749757920681"/>
    <n v="75.914509880150263"/>
    <n v="4.5431266763385013E-2"/>
    <n v="115.51880256000003"/>
    <n v="-229.4007846382633"/>
    <n v="-0.10982847162245445"/>
    <n v="4.021830543336562"/>
    <n v="-23.139852523949767"/>
  </r>
  <r>
    <n v="10.129666666666667"/>
    <n v="1.1867377777777779"/>
    <n v="28.795733333333331"/>
    <x v="82"/>
    <n v="6.7713868136029802"/>
    <s v="v2.2"/>
    <s v="True"/>
    <n v="1"/>
    <n v="152.5195392"/>
    <n v="251.21267261697258"/>
    <n v="1603.7322118169727"/>
    <n v="1724.0791452080728"/>
    <n v="120.34693339110004"/>
    <n v="6.9803601375026086E-2"/>
    <n v="122.01563136"/>
    <n v="-193.96498781051446"/>
    <n v="-9.0002823060471762E-2"/>
    <n v="2.6117152497785097"/>
    <n v="-18.523635996225387"/>
  </r>
  <r>
    <n v="10.554499999999999"/>
    <n v="1.1812377777777778"/>
    <n v="29.125733333333329"/>
    <x v="83"/>
    <n v="33.92211265998337"/>
    <s v="v2.1"/>
    <s v="True"/>
    <n v="1"/>
    <n v="151.81267920000002"/>
    <n v="257.34175708530836"/>
    <n v="1609.1544362853083"/>
    <n v="2315.0980046547365"/>
    <n v="705.94356836942825"/>
    <n v="0.30493031696716855"/>
    <n v="121.45014336000001"/>
    <n v="273.28650327848095"/>
    <n v="9.4436262388550657E-2"/>
    <n v="0.61287769232077338"/>
    <n v="26.220352036004659"/>
  </r>
  <r>
    <n v="10.183999999999999"/>
    <n v="1.1857466666666667"/>
    <n v="28.855199999999996"/>
    <x v="84"/>
    <n v="17.547493464205644"/>
    <s v="v2.2"/>
    <s v="True"/>
    <n v="1"/>
    <n v="152.39216160000001"/>
    <n v="271.47658295460724"/>
    <n v="1623.8687445546072"/>
    <n v="3678.0990706228417"/>
    <n v="2054.2303260682347"/>
    <n v="0.55850326122955019"/>
    <n v="121.91372928000001"/>
    <n v="1349.0889442636662"/>
    <n v="0.29343177948389831"/>
    <n v="0.34326305714422894"/>
    <n v="128.94554234452735"/>
  </r>
  <r>
    <n v="11.648166666666667"/>
    <n v="1.1668133333333333"/>
    <n v="29.991200000000006"/>
    <x v="85"/>
    <n v="39.354674974320801"/>
    <s v="v2.2"/>
    <s v="True"/>
    <n v="1"/>
    <n v="149.95884960000001"/>
    <n v="246.43595478273625"/>
    <n v="1596.3948043827363"/>
    <n v="1263.4670683352767"/>
    <n v="-332.92773604745958"/>
    <n v="-0.26350329533014233"/>
    <n v="119.96707968"/>
    <n v="-555.62937979451499"/>
    <n v="-0.35181249672085435"/>
    <n v="-0.66891886627105412"/>
    <n v="-53.968640836619137"/>
  </r>
  <r>
    <n v="0"/>
    <n v="1.3205333333333333"/>
    <n v="20.768000000000001"/>
    <x v="86"/>
    <n v="4.5757111183645884"/>
    <s v="v2.2"/>
    <s v="True"/>
    <n v="1"/>
    <n v="169.714944"/>
    <n v="285.01447690960322"/>
    <n v="1654.7294209096033"/>
    <n v="4983.5388448545964"/>
    <n v="3328.8094239449929"/>
    <n v="0.66796096660948512"/>
    <n v="135.77195520000001"/>
    <n v="2366.0446437740738"/>
    <n v="0.37981759025989614"/>
    <n v="0.28922195823092223"/>
    <n v="203.06320145476204"/>
  </r>
  <r>
    <n v="12.483833333333333"/>
    <n v="1.1557533333333334"/>
    <n v="30.654799999999994"/>
    <x v="87"/>
    <n v="18.67423264699508"/>
    <s v="v2.2"/>
    <s v="True"/>
    <n v="1"/>
    <n v="148.53741840000001"/>
    <n v="253.62186788959966"/>
    <n v="1602.1592862895995"/>
    <n v="1956.3944036399655"/>
    <n v="354.23511735036595"/>
    <n v="0.18106528862037968"/>
    <n v="118.82993472000001"/>
    <n v="-7.336279697627333"/>
    <n v="-2.9999184965885544E-3"/>
    <n v="1.0207101987869012"/>
    <n v="-0.71939661207792127"/>
  </r>
  <r>
    <n v="0"/>
    <n v="1.3206155555555557"/>
    <n v="20.76306666666666"/>
    <x v="88"/>
    <n v="3.8539239571997106"/>
    <s v="v2.2"/>
    <s v="True"/>
    <n v="1"/>
    <n v="169.72551120000003"/>
    <n v="281.84108922436803"/>
    <n v="1651.5666004243681"/>
    <n v="4677.5336037783463"/>
    <n v="3025.9670033539783"/>
    <n v="0.64691507526738212"/>
    <n v="135.78040896000002"/>
    <n v="2124.4053848383091"/>
    <n v="0.36333770141123772"/>
    <n v="0.29794165551586627"/>
    <n v="182.31342391974408"/>
  </r>
  <r>
    <n v="1.1531666666666667"/>
    <n v="1.3057733333333335"/>
    <n v="21.653599999999997"/>
    <x v="89"/>
    <n v="30.282976198991307"/>
    <s v="v2.2"/>
    <s v="True"/>
    <n v="1"/>
    <n v="167.81798880000002"/>
    <n v="284.40786571783207"/>
    <n v="1652.225854517832"/>
    <n v="4925.0441942195203"/>
    <n v="3272.8183397016883"/>
    <n v="0.66452567949399632"/>
    <n v="134.25439104000003"/>
    <n v="2321.3730986177843"/>
    <n v="0.37707244963890624"/>
    <n v="0.29071128988192685"/>
    <n v="201.48133252582036"/>
  </r>
  <r>
    <n v="10.566166666666668"/>
    <n v="1.1806888888888887"/>
    <n v="29.158666666666676"/>
    <x v="90"/>
    <n v="39.976212431176101"/>
    <s v="v2.2"/>
    <s v="True"/>
    <n v="1"/>
    <n v="151.74213599999999"/>
    <n v="261.59957420600705"/>
    <n v="1613.3417102060071"/>
    <n v="2725.6732270078242"/>
    <n v="1112.3315168018171"/>
    <n v="0.40809422999796158"/>
    <n v="121.39370879999998"/>
    <n v="597.54529860025241"/>
    <n v="0.17538281337010386"/>
    <n v="0.46279927380074731"/>
    <n v="57.357870600238812"/>
  </r>
  <r>
    <n v="12.474"/>
    <n v="1.155882222222222"/>
    <n v="30.647066666666674"/>
    <x v="91"/>
    <n v="24.748571326303932"/>
    <s v="v2.2"/>
    <s v="True"/>
    <n v="1"/>
    <n v="148.5539832"/>
    <n v="260.73443876050936"/>
    <n v="1609.2884219605094"/>
    <n v="2642.2494519062561"/>
    <n v="1032.9610299457468"/>
    <n v="0.39094001105781856"/>
    <n v="118.84318655999999"/>
    <n v="534.22193620449571"/>
    <n v="0.16174761571253773"/>
    <n v="0.48282469452641968"/>
    <n v="52.380036309791819"/>
  </r>
  <r>
    <n v="10.194333333333333"/>
    <n v="1.1858755555555556"/>
    <n v="28.847466666666662"/>
    <x v="92"/>
    <n v="42.733651512044652"/>
    <s v="v2.2"/>
    <s v="True"/>
    <n v="1"/>
    <n v="152.40872640000001"/>
    <n v="251.61485423601843"/>
    <n v="1604.0235806360183"/>
    <n v="1762.8609441874873"/>
    <n v="158.83736355146902"/>
    <n v="9.0102037869287568E-2"/>
    <n v="121.92698111999999"/>
    <n v="-163.25308000602854"/>
    <n v="-7.4085516747901092E-2"/>
    <n v="2.0278002376508137"/>
    <n v="-15.601987617789117"/>
  </r>
  <r>
    <n v="10.414999999999999"/>
    <n v="1.1824644444444443"/>
    <n v="29.052133333333344"/>
    <x v="93"/>
    <n v="35.858391425802907"/>
    <s v="v2.1"/>
    <s v="True"/>
    <n v="1"/>
    <n v="151.97033039999999"/>
    <n v="273.32628283769583"/>
    <n v="1625.296613237696"/>
    <n v="3856.4629879206695"/>
    <n v="2231.1663746829736"/>
    <n v="0.57855251863469215"/>
    <n v="121.57626431999999"/>
    <n v="1490.2678431788397"/>
    <n v="0.30914708069994745"/>
    <n v="0.33206780987339329"/>
    <n v="142.83475754426408"/>
  </r>
  <r>
    <n v="10.007666666666667"/>
    <n v="1.1884822222222222"/>
    <n v="28.691066666666671"/>
    <x v="94"/>
    <n v="16.88059471033284"/>
    <s v="v2.1"/>
    <s v="True"/>
    <n v="1"/>
    <n v="152.7437352"/>
    <n v="259.72454941952901"/>
    <n v="1612.468284619529"/>
    <n v="2544.8672654545794"/>
    <n v="932.39898083505045"/>
    <n v="0.36638413071359138"/>
    <n v="122.19498815999999"/>
    <n v="453.97427478413465"/>
    <n v="0.14271055498937169"/>
    <n v="0.51311157121004336"/>
    <n v="43.290860264335031"/>
  </r>
  <r>
    <n v="0"/>
    <n v="1.3209200000000001"/>
    <n v="20.744799999999998"/>
    <x v="95"/>
    <n v="44.973546080312239"/>
    <s v="v2.2"/>
    <s v="True"/>
    <n v="1"/>
    <n v="169.76463840000005"/>
    <n v="274.52001060123445"/>
    <n v="1644.2846490012344"/>
    <n v="3971.5724508333201"/>
    <n v="2327.2878018320857"/>
    <n v="0.58598649039973361"/>
    <n v="135.81171072000001"/>
    <n v="1566.9262393454214"/>
    <n v="0.31562838321464282"/>
    <n v="0.3267157426288631"/>
    <n v="134.44037019083751"/>
  </r>
  <r>
    <n v="10.316000000000001"/>
    <n v="1.1843999999999999"/>
    <n v="28.936000000000007"/>
    <x v="96"/>
    <n v="30.832874298546187"/>
    <s v="v2.1"/>
    <s v="True"/>
    <n v="1"/>
    <n v="152.219088"/>
    <n v="261.57625843722917"/>
    <n v="1613.7953464372292"/>
    <n v="2723.4249207328107"/>
    <n v="1109.6295742955815"/>
    <n v="0.40743901763115459"/>
    <n v="121.77527040000001"/>
    <n v="595.38840774901928"/>
    <n v="0.17489401766620072"/>
    <n v="0.46343498628631485"/>
    <n v="56.971760282186921"/>
  </r>
  <r>
    <n v="10.6655"/>
    <n v="1.1796444444444445"/>
    <n v="29.221333333333334"/>
    <x v="97"/>
    <n v="5.1495792032054331"/>
    <s v="v2.1"/>
    <s v="True"/>
    <n v="1"/>
    <n v="151.60790400000002"/>
    <n v="247.86399107467946"/>
    <n v="1599.4718950746794"/>
    <n v="1401.1705679155159"/>
    <n v="-198.30132715916352"/>
    <n v="-0.14152547284387448"/>
    <n v="121.2863232"/>
    <n v="-448.21385994226671"/>
    <n v="-0.25590823570270249"/>
    <n v="-1.2602665668622315"/>
    <n v="-43.06176410416623"/>
  </r>
  <r>
    <n v="1.0643333333333334"/>
    <n v="1.3069422222222222"/>
    <n v="21.583466666666666"/>
    <x v="98"/>
    <n v="44.849948550384539"/>
    <s v="v2.2"/>
    <s v="True"/>
    <n v="1"/>
    <n v="167.96821440000002"/>
    <n v="267.64506198089327"/>
    <n v="1635.6132763808932"/>
    <n v="3308.6309767289958"/>
    <n v="1673.0177003481026"/>
    <n v="0.50565255300912837"/>
    <n v="134.37457152000002"/>
    <n v="1044.8851478823035"/>
    <n v="0.25264471141845041"/>
    <n v="0.37544883854791516"/>
    <n v="90.608685484689417"/>
  </r>
  <r>
    <n v="10.5365"/>
    <n v="1.1814155555555557"/>
    <n v="29.115066666666664"/>
    <x v="99"/>
    <n v="16.327409286848798"/>
    <s v="v2.2"/>
    <s v="True"/>
    <n v="1"/>
    <n v="151.8355272"/>
    <n v="259.44284725926866"/>
    <n v="1611.2783744592687"/>
    <n v="2517.7031285723338"/>
    <n v="906.42475411306509"/>
    <n v="0.36002050592321194"/>
    <n v="121.46842176000001"/>
    <n v="433.25123383859818"/>
    <n v="0.13766555045249479"/>
    <n v="0.52202184254937556"/>
    <n v="41.5618418691108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D3D38-E556-D145-A7EE-C86D18F68F72}" name="PivotTable19" cacheId="7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ayload">
  <location ref="A25:B45" firstHeaderRow="1" firstDataRow="1" firstDataCol="1"/>
  <pivotFields count="19">
    <pivotField showAll="0"/>
    <pivotField showAll="0"/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Items count="1">
    <i/>
  </colItems>
  <dataFields count="1">
    <dataField name="Average of Profit_per_kWh" fld="1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AB49D-6C81-D042-B29E-E596BDADC0B7}" name="PivotTable16" cacheId="6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Version">
  <location ref="M2:O4" firstHeaderRow="0" firstDataRow="1" firstDataCol="1"/>
  <pivotFields count="20">
    <pivotField showAll="0"/>
    <pivotField showAll="0"/>
    <pivotField showAll="0"/>
    <pivotField dataField="1" showAll="0">
      <items count="98">
        <item x="43"/>
        <item x="78"/>
        <item x="10"/>
        <item x="8"/>
        <item x="37"/>
        <item x="31"/>
        <item x="16"/>
        <item x="45"/>
        <item x="5"/>
        <item x="52"/>
        <item x="84"/>
        <item x="88"/>
        <item x="59"/>
        <item x="82"/>
        <item x="23"/>
        <item x="6"/>
        <item x="21"/>
        <item x="34"/>
        <item x="94"/>
        <item x="41"/>
        <item x="38"/>
        <item x="60"/>
        <item x="87"/>
        <item x="13"/>
        <item x="80"/>
        <item x="0"/>
        <item x="96"/>
        <item x="66"/>
        <item x="33"/>
        <item x="71"/>
        <item x="90"/>
        <item x="25"/>
        <item x="17"/>
        <item x="46"/>
        <item x="40"/>
        <item x="56"/>
        <item x="7"/>
        <item x="93"/>
        <item x="49"/>
        <item x="50"/>
        <item x="57"/>
        <item x="32"/>
        <item x="62"/>
        <item x="63"/>
        <item x="47"/>
        <item x="64"/>
        <item x="81"/>
        <item x="89"/>
        <item x="29"/>
        <item x="14"/>
        <item x="77"/>
        <item x="79"/>
        <item x="54"/>
        <item x="70"/>
        <item x="74"/>
        <item x="61"/>
        <item x="24"/>
        <item x="67"/>
        <item x="91"/>
        <item x="18"/>
        <item x="27"/>
        <item x="22"/>
        <item x="15"/>
        <item x="86"/>
        <item x="95"/>
        <item x="2"/>
        <item x="12"/>
        <item x="75"/>
        <item x="48"/>
        <item x="30"/>
        <item x="28"/>
        <item x="69"/>
        <item x="4"/>
        <item x="1"/>
        <item x="53"/>
        <item x="3"/>
        <item x="83"/>
        <item x="85"/>
        <item x="9"/>
        <item x="51"/>
        <item x="39"/>
        <item x="20"/>
        <item x="36"/>
        <item x="11"/>
        <item x="68"/>
        <item x="65"/>
        <item x="58"/>
        <item x="35"/>
        <item x="44"/>
        <item x="42"/>
        <item x="72"/>
        <item x="76"/>
        <item x="92"/>
        <item x="73"/>
        <item x="26"/>
        <item x="55"/>
        <item x="19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7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Average of Avg_Burn_rate_per_min" fld="3" subtotal="average" baseField="0" baseItem="0"/>
    <dataField name="Average of Net_Profit_60" fld="1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BD228-A446-D149-BD31-B59D682DE6A2}" name="PivotTable15" cacheId="6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Air Temp">
  <location ref="H2:K13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ortie_60_energy_OpEx" fld="16" subtotal="average" baseField="0" baseItem="0"/>
    <dataField name="Average of Depreciation_OpEx" fld="11" subtotal="average" baseField="0" baseItem="0"/>
    <dataField name="Average of Margin_%_60" fld="1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09A96-04B2-814D-AA42-B27D02D23BBD}" name="PivotTable14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2:F3" firstHeaderRow="0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Net_Profit_60" fld="17" subtotal="average" baseField="0" baseItem="0"/>
    <dataField name="Average of Net_Profit_75" fld="14" subtotal="average" baseField="0" baseItem="0"/>
  </dataField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4FD74-9AFE-D64D-8C94-41C26BD248D7}" name="PivotTable12" cacheId="6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 rowHeaderCaption="Payload">
  <location ref="A2:C22" firstHeaderRow="0" firstDataRow="1" firstDataCol="1"/>
  <pivotFields count="20">
    <pivotField showAll="0"/>
    <pivotField showAll="0"/>
    <pivotField showAll="0"/>
    <pivotField showAll="0"/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5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2">
    <i>
      <x/>
    </i>
    <i i="1">
      <x v="1"/>
    </i>
  </colItems>
  <dataFields count="2">
    <dataField name="Average of Net_Profit_60" fld="17" subtotal="average" baseField="0" baseItem="0" numFmtId="44"/>
    <dataField name="Average of Margin_%_60" fld="18" subtotal="average" baseField="0" baseItem="0"/>
  </dataFields>
  <formats count="2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dataOnly="0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ABF799-D1A8-DA4D-89BF-B91AE649C992}" autoFormatId="16" applyNumberFormats="0" applyBorderFormats="0" applyFontFormats="0" applyPatternFormats="0" applyAlignmentFormats="0" applyWidthHeightFormats="0">
  <queryTableRefresh nextId="32" unboundColumnsRight="11">
    <queryTableFields count="21">
      <queryTableField id="18" name="flight_id" tableColumnId="15"/>
      <queryTableField id="2" name="Start_SoC" tableColumnId="2"/>
      <queryTableField id="3" name="End_SoC" tableColumnId="3"/>
      <queryTableField id="8" name="Avg_Burn_rate_per_min" tableColumnId="8"/>
      <queryTableField id="9" name="Projected_SoC_60min" tableColumnId="9"/>
      <queryTableField id="4" name="Payload(lbs)" tableColumnId="4"/>
      <queryTableField id="10" name="Temp" tableColumnId="10"/>
      <queryTableField id="11" name="Firmwave" tableColumnId="11"/>
      <queryTableField id="12" name="Is_Alert" tableColumnId="12"/>
      <queryTableField id="13" name="Is_60min_Safe" tableColumnId="13"/>
      <queryTableField id="17" dataBound="0" tableColumnId="14"/>
      <queryTableField id="20" dataBound="0" tableColumnId="16"/>
      <queryTableField id="21" dataBound="0" tableColumnId="17"/>
      <queryTableField id="22" dataBound="0" tableColumnId="18"/>
      <queryTableField id="23" dataBound="0" tableColumnId="19"/>
      <queryTableField id="26" dataBound="0" tableColumnId="21"/>
      <queryTableField id="27" dataBound="0" tableColumnId="22"/>
      <queryTableField id="28" dataBound="0" tableColumnId="23"/>
      <queryTableField id="29" dataBound="0" tableColumnId="24"/>
      <queryTableField id="30" dataBound="0" tableColumnId="25"/>
      <queryTableField id="31" dataBound="0" tableColumnId="26"/>
    </queryTableFields>
    <queryTableDeletedFields count="1">
      <deletedField name="Ticket_rev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D0FBFD-C3E8-DF41-BC81-4E37298EBD79}" name="Alice_Master_Analysis_View" displayName="Alice_Master_Analysis_View" ref="A1:U101" tableType="queryTable" totalsRowShown="0">
  <autoFilter ref="A1:U101" xr:uid="{0AD0FBFD-C3E8-DF41-BC81-4E37298EBD79}"/>
  <tableColumns count="21">
    <tableColumn id="15" xr3:uid="{61D90C05-701A-D741-AD87-BF3A78A09AE9}" uniqueName="15" name="flight_id" queryTableFieldId="18" dataDxfId="19"/>
    <tableColumn id="2" xr3:uid="{979EBB0A-C70A-9049-9593-C896FE0EA4C9}" uniqueName="2" name="Start_SoC" queryTableFieldId="2"/>
    <tableColumn id="3" xr3:uid="{C02285A2-2D95-4343-8B5E-9FC9686F5E08}" uniqueName="3" name="End_SoC" queryTableFieldId="3"/>
    <tableColumn id="8" xr3:uid="{A773689D-B74B-C44E-ABB3-B6DA18F713BF}" uniqueName="8" name="Avg_Burn_rate_per_min" queryTableFieldId="8"/>
    <tableColumn id="9" xr3:uid="{417DE007-E2C6-5C40-BB58-24573EC97D52}" uniqueName="9" name="Projected_SoC_60min" queryTableFieldId="9"/>
    <tableColumn id="4" xr3:uid="{DFCEBF88-C08B-CE45-97F2-5222FAC3CDB5}" uniqueName="4" name="Payload(lbs)" queryTableFieldId="4"/>
    <tableColumn id="10" xr3:uid="{BFCFBA14-D90B-5349-87C1-ED46A68B9F89}" uniqueName="10" name="Temp" queryTableFieldId="10"/>
    <tableColumn id="11" xr3:uid="{CAB38546-27F6-CC49-9542-F151E1035A53}" uniqueName="11" name="Firmwave" queryTableFieldId="11" dataDxfId="18"/>
    <tableColumn id="12" xr3:uid="{0F856845-DDA2-2C4B-B584-B7F80363C5F2}" uniqueName="12" name="Is_Alert" queryTableFieldId="12" dataDxfId="17"/>
    <tableColumn id="13" xr3:uid="{1FF5DD51-C346-E843-AB7E-89A230E363CB}" uniqueName="13" name="Is_60min_Safe" queryTableFieldId="13"/>
    <tableColumn id="14" xr3:uid="{DFFF0C53-CE14-A046-B45C-62673CDD8B32}" uniqueName="14" name="Sortie_75_energy_OpEx" queryTableFieldId="17" dataDxfId="16">
      <calculatedColumnFormula>(Alice_Master_Analysis_View[[#This Row],[Start_SoC]]-Alice_Master_Analysis_View[[#This Row],[End_SoC]])/100*val_capacity*val_elec_rate*val_charging_loss</calculatedColumnFormula>
    </tableColumn>
    <tableColumn id="16" xr3:uid="{28EC6CC6-887C-F548-ADEE-9281DAA673B1}" uniqueName="16" name="Depreciation_OpEx" queryTableFieldId="20" dataDxfId="15">
      <calculatedColumnFormula>(val_battery_cost / val_cycle) * (1 + (Alice_Master_Analysis_View[[#This Row],[Payload(lbs)]] / val_max_payload) * val_stress_factor)</calculatedColumnFormula>
    </tableColumn>
    <tableColumn id="17" xr3:uid="{1AD1696B-2666-BA4A-81D4-A7FFD9A295CE}" uniqueName="17" name="Total_OpEx_75" queryTableFieldId="21" dataDxfId="14">
      <calculatedColumnFormula>(Alice_Master_Analysis_View[[#This Row],[Sortie_75_energy_OpEx]]+Alice_Master_Analysis_View[[#This Row],[Depreciation_OpEx]]+val_ground_ops)</calculatedColumnFormula>
    </tableColumn>
    <tableColumn id="18" xr3:uid="{81697004-888A-6542-A705-965218562E52}" uniqueName="18" name="Revenue" queryTableFieldId="22" dataDxfId="13">
      <calculatedColumnFormula>Alice_Master_Analysis_View[[#This Row],[Payload(lbs)]]*val_yield_rate</calculatedColumnFormula>
    </tableColumn>
    <tableColumn id="19" xr3:uid="{D9366671-EACD-FF44-AACE-6D0A36B0A7E1}" uniqueName="19" name="Net_Profit_75" queryTableFieldId="23" dataDxfId="12">
      <calculatedColumnFormula>Alice_Master_Analysis_View[[#This Row],[Revenue]]-Alice_Master_Analysis_View[[#This Row],[Total_OpEx_75]]</calculatedColumnFormula>
    </tableColumn>
    <tableColumn id="21" xr3:uid="{D8BBDC60-F4D1-0442-90BA-E52DCAC1EDAC}" uniqueName="21" name="Margin_%_75" queryTableFieldId="26" dataDxfId="8">
      <calculatedColumnFormula>Alice_Master_Analysis_View[[#This Row],[Net_Profit_75]]/Alice_Master_Analysis_View[[#This Row],[Revenue]]</calculatedColumnFormula>
    </tableColumn>
    <tableColumn id="22" xr3:uid="{71A5E6C9-58CE-A149-8A5F-89BE03756F84}" uniqueName="22" name="Sortie_60_energy_OpEx" queryTableFieldId="27" dataDxfId="11">
      <calculatedColumnFormula>(Alice_Master_Analysis_View[[#This Row],[Start_SoC]]-(Alice_Master_Analysis_View[[#This Row],[Start_SoC]]-Alice_Master_Analysis_View[[#This Row],[Avg_Burn_rate_per_min]]*60))/100*val_capacity*val_elec_rate*val_charging_loss</calculatedColumnFormula>
    </tableColumn>
    <tableColumn id="23" xr3:uid="{F4F94DFD-E29E-4C4D-BA55-7F53872AD75F}" uniqueName="23" name="Net_Profit_60" queryTableFieldId="28" dataDxfId="10">
      <calculatedColumnFormula>Alice_Master_Analysis_View[[#This Row],[Revenue]]*60/75-(Alice_Master_Analysis_View[[#This Row],[Depreciation_OpEx]]+Alice_Master_Analysis_View[[#This Row],[Sortie_60_energy_OpEx]]+val_ground_ops)</calculatedColumnFormula>
    </tableColumn>
    <tableColumn id="24" xr3:uid="{040C2BA8-1D3B-0140-A6F7-5FD9933CB721}" uniqueName="24" name="Margin_%_60" queryTableFieldId="29" dataDxfId="9">
      <calculatedColumnFormula>Alice_Master_Analysis_View[[#This Row],[Net_Profit_60]]/Alice_Master_Analysis_View[[#This Row],[Revenue]]*(60/75)</calculatedColumnFormula>
    </tableColumn>
    <tableColumn id="25" xr3:uid="{230C45A4-968B-B24A-9A3D-1BC54DD864C7}" uniqueName="25" name="%_Profit_Loss_for_Safety" queryTableFieldId="30" dataDxfId="4">
      <calculatedColumnFormula>(Alice_Master_Analysis_View[[#This Row],[Net_Profit_75]]-Alice_Master_Analysis_View[[#This Row],[Net_Profit_60]])/Alice_Master_Analysis_View[[#This Row],[Net_Profit_75]]</calculatedColumnFormula>
    </tableColumn>
    <tableColumn id="26" xr3:uid="{3CF441D6-E1D0-F443-8BE8-B5CF6A9D3D0B}" uniqueName="26" name="Profit_per_kWh" queryTableFieldId="31" dataDxfId="1">
      <calculatedColumnFormula>Alice_Master_Analysis_View[[#This Row],[Net_Profit_60]]/(Alice_Master_Analysis_View[[#This Row],[Start_SoC]]-Alice_Master_Analysis_View[[#This Row],[End_SoC]])/100*850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001225-107B-344E-855F-A178662FAA5A}" name="Table7" displayName="Table7" ref="A1:F101" totalsRowShown="0">
  <autoFilter ref="A1:F101" xr:uid="{52001225-107B-344E-855F-A178662FAA5A}"/>
  <tableColumns count="6">
    <tableColumn id="1" xr3:uid="{95B23015-0F2C-B949-BF62-F3C4B7804ACB}" name="Flight_ID">
      <calculatedColumnFormula>Alice_Master_Analysis_View[[#This Row],[flight_id]]</calculatedColumnFormula>
    </tableColumn>
    <tableColumn id="2" xr3:uid="{803CA7D3-512F-B347-B805-C95D6435B7B8}" name="Net_Profit_60" dataDxfId="7" dataCellStyle="Currency">
      <calculatedColumnFormula>Alice_Master_Analysis_View[[#This Row],[Net_Profit_60]]</calculatedColumnFormula>
    </tableColumn>
    <tableColumn id="3" xr3:uid="{F81FF4CA-02CC-F14A-8D56-EA1EAEBBEAF4}" name="Energy_kWh" dataDxfId="6">
      <calculatedColumnFormula>Alice_Master_Analysis_View[[#This Row],[Sortie_60_energy_OpEx]]</calculatedColumnFormula>
    </tableColumn>
    <tableColumn id="4" xr3:uid="{258F74F6-39CB-604A-A19A-2942501897E2}" name="Flight Decision"/>
    <tableColumn id="5" xr3:uid="{FEBE3E5F-2876-F944-A459-78AF77EC23CB}" name="Opt.Profit" dataDxfId="5">
      <calculatedColumnFormula>B2*D2</calculatedColumnFormula>
    </tableColumn>
    <tableColumn id="6" xr3:uid="{37BE7D2A-0171-744C-9658-9293A3F687CA}" name="Opt.Energy">
      <calculatedColumnFormula>C2*D2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C153-476B-1040-A723-A1BA94C50073}">
  <dimension ref="A2:O35"/>
  <sheetViews>
    <sheetView tabSelected="1" zoomScale="117" workbookViewId="0">
      <selection activeCell="D8" sqref="D8"/>
    </sheetView>
  </sheetViews>
  <sheetFormatPr baseColWidth="10" defaultRowHeight="16" x14ac:dyDescent="0.2"/>
  <cols>
    <col min="1" max="1" width="24.6640625" customWidth="1"/>
    <col min="2" max="2" width="9.83203125" style="7" customWidth="1"/>
    <col min="3" max="3" width="11.1640625" customWidth="1"/>
    <col min="4" max="4" width="44.1640625" customWidth="1"/>
    <col min="6" max="6" width="21.6640625" customWidth="1"/>
    <col min="7" max="7" width="12.5" bestFit="1" customWidth="1"/>
    <col min="8" max="8" width="13.83203125" customWidth="1"/>
    <col min="9" max="9" width="47.5" customWidth="1"/>
  </cols>
  <sheetData>
    <row r="2" spans="1:15" ht="21" thickBot="1" x14ac:dyDescent="0.3">
      <c r="A2" s="17" t="s">
        <v>243</v>
      </c>
      <c r="B2" s="17"/>
      <c r="C2" s="17"/>
      <c r="D2" s="17"/>
      <c r="E2" s="4"/>
      <c r="F2" s="69" t="s">
        <v>244</v>
      </c>
      <c r="G2" s="69"/>
      <c r="H2" s="69"/>
      <c r="I2" s="69"/>
    </row>
    <row r="3" spans="1:15" ht="17" thickTop="1" x14ac:dyDescent="0.2">
      <c r="E3" s="4"/>
      <c r="F3" s="73" t="s">
        <v>107</v>
      </c>
      <c r="G3" s="74">
        <v>850</v>
      </c>
      <c r="H3" s="73" t="s">
        <v>108</v>
      </c>
      <c r="I3" s="71" t="s">
        <v>134</v>
      </c>
    </row>
    <row r="4" spans="1:15" x14ac:dyDescent="0.2">
      <c r="A4" s="104" t="s">
        <v>251</v>
      </c>
      <c r="B4" s="104"/>
      <c r="C4" s="104"/>
      <c r="D4" s="104"/>
      <c r="E4" s="4"/>
      <c r="F4" s="73" t="s">
        <v>109</v>
      </c>
      <c r="G4" s="74">
        <v>2500</v>
      </c>
      <c r="H4" s="73" t="s">
        <v>110</v>
      </c>
      <c r="I4" s="71" t="s">
        <v>125</v>
      </c>
    </row>
    <row r="5" spans="1:15" x14ac:dyDescent="0.2">
      <c r="A5" s="104"/>
      <c r="B5" s="104"/>
      <c r="C5" s="104"/>
      <c r="D5" s="104"/>
      <c r="E5" s="4"/>
      <c r="F5" s="13" t="s">
        <v>111</v>
      </c>
      <c r="G5" s="80">
        <v>0.18</v>
      </c>
      <c r="H5" s="13" t="s">
        <v>112</v>
      </c>
      <c r="I5" s="71" t="s">
        <v>126</v>
      </c>
    </row>
    <row r="6" spans="1:15" x14ac:dyDescent="0.2">
      <c r="A6" s="104"/>
      <c r="B6" s="104"/>
      <c r="C6" s="104"/>
      <c r="D6" s="104"/>
      <c r="E6" s="4"/>
      <c r="F6" s="13" t="s">
        <v>113</v>
      </c>
      <c r="G6" s="81">
        <v>350000</v>
      </c>
      <c r="H6" s="13" t="s">
        <v>114</v>
      </c>
      <c r="I6" s="71" t="s">
        <v>135</v>
      </c>
    </row>
    <row r="7" spans="1:15" x14ac:dyDescent="0.2">
      <c r="B7"/>
      <c r="E7" s="4"/>
      <c r="F7" s="13" t="s">
        <v>115</v>
      </c>
      <c r="G7" s="12">
        <v>1500</v>
      </c>
      <c r="H7" s="13" t="s">
        <v>116</v>
      </c>
      <c r="I7" s="71" t="s">
        <v>117</v>
      </c>
    </row>
    <row r="8" spans="1:15" x14ac:dyDescent="0.2">
      <c r="A8" s="14" t="s">
        <v>210</v>
      </c>
      <c r="B8" s="15">
        <v>100</v>
      </c>
      <c r="E8" s="4"/>
      <c r="F8" s="13" t="s">
        <v>118</v>
      </c>
      <c r="G8" s="80">
        <v>0.25</v>
      </c>
      <c r="H8" s="13" t="s">
        <v>119</v>
      </c>
      <c r="I8" s="71" t="s">
        <v>120</v>
      </c>
    </row>
    <row r="9" spans="1:15" x14ac:dyDescent="0.2">
      <c r="A9" s="14" t="s">
        <v>213</v>
      </c>
      <c r="B9" s="16">
        <v>1</v>
      </c>
      <c r="E9" s="4"/>
      <c r="F9" s="13" t="s">
        <v>121</v>
      </c>
      <c r="G9" s="81">
        <v>1200</v>
      </c>
      <c r="H9" s="13" t="s">
        <v>122</v>
      </c>
      <c r="I9" s="71" t="s">
        <v>123</v>
      </c>
    </row>
    <row r="10" spans="1:15" x14ac:dyDescent="0.2">
      <c r="F10" s="13" t="s">
        <v>137</v>
      </c>
      <c r="G10" s="82">
        <v>1.1200000000000001</v>
      </c>
      <c r="H10" s="13"/>
      <c r="I10" s="71"/>
    </row>
    <row r="11" spans="1:15" x14ac:dyDescent="0.2">
      <c r="E11" s="4"/>
      <c r="F11" s="13" t="s">
        <v>212</v>
      </c>
      <c r="G11" s="80">
        <v>2.25</v>
      </c>
      <c r="H11" s="13" t="s">
        <v>124</v>
      </c>
      <c r="I11" s="71" t="s">
        <v>136</v>
      </c>
    </row>
    <row r="13" spans="1:15" ht="19" thickBot="1" x14ac:dyDescent="0.3">
      <c r="F13" s="69" t="s">
        <v>254</v>
      </c>
      <c r="G13" s="69"/>
      <c r="H13" s="69"/>
      <c r="I13" s="69"/>
      <c r="J13" s="69"/>
      <c r="K13" s="69"/>
      <c r="L13" s="69"/>
      <c r="M13" s="69"/>
      <c r="N13" s="69"/>
      <c r="O13" s="69"/>
    </row>
    <row r="14" spans="1:15" ht="18" thickTop="1" thickBot="1" x14ac:dyDescent="0.25">
      <c r="A14" s="77" t="s">
        <v>252</v>
      </c>
      <c r="B14" s="77"/>
      <c r="C14" s="77"/>
      <c r="D14" s="77"/>
      <c r="F14" s="13" t="s">
        <v>211</v>
      </c>
      <c r="G14" s="80">
        <f>SUM(Alice_Master_Analysis_View[Net_Profit_60])</f>
        <v>108956.20146175637</v>
      </c>
      <c r="H14" s="78" t="s">
        <v>114</v>
      </c>
    </row>
    <row r="15" spans="1:15" ht="16" customHeight="1" thickTop="1" x14ac:dyDescent="0.2">
      <c r="A15" s="76" t="s">
        <v>272</v>
      </c>
      <c r="B15" s="76"/>
      <c r="C15" s="76"/>
      <c r="D15" s="76"/>
      <c r="F15" s="18" t="s">
        <v>207</v>
      </c>
      <c r="G15" s="79">
        <f>AVERAGE(Alice_Master_Analysis_View[Margin_%_60])</f>
        <v>0.18295385731767932</v>
      </c>
      <c r="H15" s="78"/>
    </row>
    <row r="16" spans="1:15" x14ac:dyDescent="0.2">
      <c r="A16" s="76"/>
      <c r="B16" s="76"/>
      <c r="C16" s="76"/>
      <c r="D16" s="76"/>
      <c r="F16" s="18" t="s">
        <v>208</v>
      </c>
      <c r="G16" s="19">
        <f>COUNTIF(Alice_Master_Analysis_View[[#All],[Net_Profit_60]], "&gt;0") / 100</f>
        <v>0.76</v>
      </c>
      <c r="H16" s="78"/>
    </row>
    <row r="17" spans="1:8" x14ac:dyDescent="0.2">
      <c r="F17" s="18" t="s">
        <v>209</v>
      </c>
      <c r="G17" s="20">
        <f>SUM(Alice_Master_Analysis_View[Projected_SoC_60min])</f>
        <v>2603.5829333333327</v>
      </c>
      <c r="H17" s="78" t="s">
        <v>108</v>
      </c>
    </row>
    <row r="18" spans="1:8" x14ac:dyDescent="0.2">
      <c r="A18" s="75" t="s">
        <v>273</v>
      </c>
      <c r="B18" s="76"/>
      <c r="C18" s="76"/>
      <c r="D18" s="76"/>
      <c r="F18" s="18" t="s">
        <v>259</v>
      </c>
      <c r="G18" s="20">
        <f>G14/G17</f>
        <v>41.84856186711179</v>
      </c>
      <c r="H18" s="78" t="s">
        <v>241</v>
      </c>
    </row>
    <row r="19" spans="1:8" x14ac:dyDescent="0.2">
      <c r="A19" s="76"/>
      <c r="B19" s="76"/>
      <c r="C19" s="76"/>
      <c r="D19" s="76"/>
    </row>
    <row r="21" spans="1:8" ht="16" customHeight="1" x14ac:dyDescent="0.2">
      <c r="A21" s="75" t="s">
        <v>274</v>
      </c>
      <c r="B21" s="75"/>
      <c r="C21" s="75"/>
      <c r="D21" s="75"/>
    </row>
    <row r="22" spans="1:8" x14ac:dyDescent="0.2">
      <c r="A22" s="75"/>
      <c r="B22" s="75"/>
      <c r="C22" s="75"/>
      <c r="D22" s="75"/>
    </row>
    <row r="24" spans="1:8" x14ac:dyDescent="0.2">
      <c r="A24" s="72" t="s">
        <v>275</v>
      </c>
      <c r="B24" s="72"/>
      <c r="C24" s="72"/>
      <c r="D24" s="72"/>
    </row>
    <row r="25" spans="1:8" ht="16" customHeight="1" x14ac:dyDescent="0.2">
      <c r="A25" s="72"/>
      <c r="B25" s="72"/>
      <c r="C25" s="72"/>
      <c r="D25" s="72"/>
    </row>
    <row r="26" spans="1:8" ht="16" customHeight="1" x14ac:dyDescent="0.2">
      <c r="A26" s="39"/>
      <c r="B26" s="39"/>
      <c r="C26" s="39"/>
      <c r="D26" s="39"/>
    </row>
    <row r="27" spans="1:8" ht="17" thickBot="1" x14ac:dyDescent="0.25">
      <c r="A27" s="77" t="s">
        <v>263</v>
      </c>
      <c r="B27" s="77"/>
      <c r="C27" s="77"/>
      <c r="D27" s="77"/>
    </row>
    <row r="28" spans="1:8" ht="17" thickTop="1" x14ac:dyDescent="0.2">
      <c r="A28" s="75" t="s">
        <v>264</v>
      </c>
      <c r="B28" s="76"/>
      <c r="C28" s="76"/>
      <c r="D28" s="76"/>
    </row>
    <row r="29" spans="1:8" x14ac:dyDescent="0.2">
      <c r="A29" s="76"/>
      <c r="B29" s="76"/>
      <c r="C29" s="76"/>
      <c r="D29" s="76"/>
    </row>
    <row r="31" spans="1:8" ht="16" customHeight="1" x14ac:dyDescent="0.2">
      <c r="A31" s="75" t="s">
        <v>265</v>
      </c>
      <c r="B31" s="75"/>
      <c r="C31" s="75"/>
      <c r="D31" s="75"/>
    </row>
    <row r="32" spans="1:8" x14ac:dyDescent="0.2">
      <c r="A32" s="75"/>
      <c r="B32" s="75"/>
      <c r="C32" s="75"/>
      <c r="D32" s="75"/>
    </row>
    <row r="34" spans="1:4" ht="16" customHeight="1" x14ac:dyDescent="0.2">
      <c r="A34" s="75" t="s">
        <v>266</v>
      </c>
      <c r="B34" s="75"/>
      <c r="C34" s="75"/>
      <c r="D34" s="75"/>
    </row>
    <row r="35" spans="1:4" x14ac:dyDescent="0.2">
      <c r="A35" s="75"/>
      <c r="B35" s="75"/>
      <c r="C35" s="75"/>
      <c r="D35" s="75"/>
    </row>
  </sheetData>
  <scenarios current="0" show="0" sqref="G8">
    <scenario name="Bull Case" locked="1" count="2" user="Xinxuan Gan" comment="_x000a_Modified by Xinxuan Gan on 4/2/2026">
      <inputCells r="G5" val="0.08"/>
      <inputCells r="G11" val="4"/>
    </scenario>
    <scenario name="Bear Case" locked="1" count="2" user="Xinxuan Gan" comment="_x000a_Modified by Xinxuan Gan on 4/2/2026">
      <inputCells r="G5" val="0.3"/>
      <inputCells r="G11" val="1.2"/>
    </scenario>
    <scenario name="Base" locked="1" count="2" user="Xinxuan Gan">
      <inputCells r="G5" val="0.18"/>
      <inputCells r="G11" val="3"/>
    </scenario>
  </scenarios>
  <mergeCells count="13">
    <mergeCell ref="A21:D22"/>
    <mergeCell ref="A27:D27"/>
    <mergeCell ref="A28:D29"/>
    <mergeCell ref="A31:D32"/>
    <mergeCell ref="A34:D35"/>
    <mergeCell ref="A24:D25"/>
    <mergeCell ref="A15:D16"/>
    <mergeCell ref="A14:D14"/>
    <mergeCell ref="A18:D19"/>
    <mergeCell ref="F2:I2"/>
    <mergeCell ref="A2:D2"/>
    <mergeCell ref="F13:O13"/>
    <mergeCell ref="A4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FDFF-5984-1240-8E16-9C0B88282AA9}">
  <dimension ref="A1:U101"/>
  <sheetViews>
    <sheetView topLeftCell="C51" workbookViewId="0">
      <selection activeCell="U2" sqref="U2"/>
    </sheetView>
  </sheetViews>
  <sheetFormatPr baseColWidth="10" defaultRowHeight="16" x14ac:dyDescent="0.2"/>
  <cols>
    <col min="1" max="1" width="10.33203125" bestFit="1" customWidth="1"/>
    <col min="2" max="3" width="12.1640625" bestFit="1" customWidth="1"/>
    <col min="4" max="4" width="23.1640625" bestFit="1" customWidth="1"/>
    <col min="5" max="5" width="22" bestFit="1" customWidth="1"/>
    <col min="6" max="6" width="14" bestFit="1" customWidth="1"/>
    <col min="7" max="7" width="12.83203125" bestFit="1" customWidth="1"/>
    <col min="8" max="8" width="11.6640625" bestFit="1" customWidth="1"/>
    <col min="9" max="9" width="10" bestFit="1" customWidth="1"/>
    <col min="10" max="10" width="8.1640625" customWidth="1"/>
    <col min="11" max="11" width="20" bestFit="1" customWidth="1"/>
    <col min="12" max="12" width="19.5" bestFit="1" customWidth="1"/>
    <col min="13" max="13" width="12.6640625" bestFit="1" customWidth="1"/>
    <col min="14" max="15" width="12.1640625" bestFit="1" customWidth="1"/>
    <col min="19" max="19" width="11" customWidth="1"/>
  </cols>
  <sheetData>
    <row r="1" spans="1:21" x14ac:dyDescent="0.2">
      <c r="A1" t="s">
        <v>0</v>
      </c>
      <c r="B1" t="s">
        <v>103</v>
      </c>
      <c r="C1" t="s">
        <v>104</v>
      </c>
      <c r="D1" t="s">
        <v>127</v>
      </c>
      <c r="E1" t="s">
        <v>128</v>
      </c>
      <c r="F1" t="s">
        <v>105</v>
      </c>
      <c r="G1" t="s">
        <v>129</v>
      </c>
      <c r="H1" t="s">
        <v>130</v>
      </c>
      <c r="I1" t="s">
        <v>131</v>
      </c>
      <c r="J1" t="s">
        <v>132</v>
      </c>
      <c r="K1" t="s">
        <v>171</v>
      </c>
      <c r="L1" t="s">
        <v>138</v>
      </c>
      <c r="M1" t="s">
        <v>170</v>
      </c>
      <c r="N1" t="s">
        <v>106</v>
      </c>
      <c r="O1" t="s">
        <v>169</v>
      </c>
      <c r="P1" t="s">
        <v>214</v>
      </c>
      <c r="Q1" t="s">
        <v>172</v>
      </c>
      <c r="R1" t="s">
        <v>173</v>
      </c>
      <c r="S1" t="s">
        <v>215</v>
      </c>
      <c r="T1" t="s">
        <v>177</v>
      </c>
      <c r="U1" t="s">
        <v>260</v>
      </c>
    </row>
    <row r="2" spans="1:21" x14ac:dyDescent="0.2">
      <c r="A2" s="1" t="s">
        <v>1</v>
      </c>
      <c r="B2">
        <v>99.137999999999991</v>
      </c>
      <c r="C2">
        <v>10.536333333333333</v>
      </c>
      <c r="D2">
        <v>1.1813555555555555</v>
      </c>
      <c r="E2">
        <v>29.11866666666667</v>
      </c>
      <c r="F2">
        <v>963.91134781858102</v>
      </c>
      <c r="G2">
        <v>38.328564788085622</v>
      </c>
      <c r="H2" s="1" t="s">
        <v>2</v>
      </c>
      <c r="I2" s="1" t="s">
        <v>133</v>
      </c>
      <c r="J2">
        <v>1</v>
      </c>
      <c r="K2">
        <f>(Alice_Master_Analysis_View[[#This Row],[Start_SoC]]-Alice_Master_Analysis_View[[#This Row],[End_SoC]])/100*val_capacity*val_elec_rate*val_charging_loss</f>
        <v>151.82781599999998</v>
      </c>
      <c r="L2" s="1">
        <f>(val_battery_cost / val_cycle) * (1 + (Alice_Master_Analysis_View[[#This Row],[Payload(lbs)]] / val_max_payload) * val_stress_factor)</f>
        <v>255.82459811576689</v>
      </c>
      <c r="M2" s="1">
        <f>(Alice_Master_Analysis_View[[#This Row],[Sortie_75_energy_OpEx]]+Alice_Master_Analysis_View[[#This Row],[Depreciation_OpEx]]+val_ground_ops)</f>
        <v>1607.652414115767</v>
      </c>
      <c r="N2" s="1">
        <f>Alice_Master_Analysis_View[[#This Row],[Payload(lbs)]]*val_yield_rate</f>
        <v>2168.8005325918075</v>
      </c>
      <c r="O2" s="1">
        <f>Alice_Master_Analysis_View[[#This Row],[Revenue]]-Alice_Master_Analysis_View[[#This Row],[Total_OpEx_75]]</f>
        <v>561.14811847604051</v>
      </c>
      <c r="P2" s="1">
        <f>Alice_Master_Analysis_View[[#This Row],[Net_Profit_75]]/Alice_Master_Analysis_View[[#This Row],[Revenue]]</f>
        <v>0.2587366196399099</v>
      </c>
      <c r="Q2" s="1">
        <f>(Alice_Master_Analysis_View[[#This Row],[Start_SoC]]-(Alice_Master_Analysis_View[[#This Row],[Start_SoC]]-Alice_Master_Analysis_View[[#This Row],[Avg_Burn_rate_per_min]]*60))/100*val_capacity*val_elec_rate*val_charging_loss</f>
        <v>121.4622528</v>
      </c>
      <c r="R2" s="1">
        <f>Alice_Master_Analysis_View[[#This Row],[Revenue]]*60/75-(Alice_Master_Analysis_View[[#This Row],[Depreciation_OpEx]]+Alice_Master_Analysis_View[[#This Row],[Sortie_60_energy_OpEx]]+val_ground_ops)</f>
        <v>157.75357515767905</v>
      </c>
      <c r="S2" s="1">
        <f>Alice_Master_Analysis_View[[#This Row],[Net_Profit_60]]/Alice_Master_Analysis_View[[#This Row],[Revenue]]*(60/75)</f>
        <v>5.819016466918954E-2</v>
      </c>
      <c r="T2" s="1">
        <f>(Alice_Master_Analysis_View[[#This Row],[Net_Profit_75]]-Alice_Master_Analysis_View[[#This Row],[Net_Profit_60]])/Alice_Master_Analysis_View[[#This Row],[Net_Profit_75]]</f>
        <v>0.71887355590516033</v>
      </c>
      <c r="U2" s="1">
        <f>Alice_Master_Analysis_View[[#This Row],[Net_Profit_60]]/(Alice_Master_Analysis_View[[#This Row],[Start_SoC]]-Alice_Master_Analysis_View[[#This Row],[End_SoC]])/100*850</f>
        <v>15.134087645156473</v>
      </c>
    </row>
    <row r="3" spans="1:21" x14ac:dyDescent="0.2">
      <c r="A3" s="1" t="s">
        <v>3</v>
      </c>
      <c r="B3">
        <v>99.035166666666655</v>
      </c>
      <c r="C3">
        <v>0</v>
      </c>
      <c r="D3">
        <v>1.3204688888888887</v>
      </c>
      <c r="E3">
        <v>20.771866666666682</v>
      </c>
      <c r="F3">
        <v>2478.8887247984153</v>
      </c>
      <c r="G3">
        <v>8.1998755083305337</v>
      </c>
      <c r="H3" s="1" t="s">
        <v>2</v>
      </c>
      <c r="I3" s="1" t="s">
        <v>133</v>
      </c>
      <c r="J3">
        <v>1</v>
      </c>
      <c r="K3">
        <f>(Alice_Master_Analysis_View[[#This Row],[Start_SoC]]-Alice_Master_Analysis_View[[#This Row],[End_SoC]])/100*val_capacity*val_elec_rate*val_charging_loss</f>
        <v>169.70666159999996</v>
      </c>
      <c r="L3" s="1">
        <f>(val_battery_cost / val_cycle) * (1 + (Alice_Master_Analysis_View[[#This Row],[Payload(lbs)]] / val_max_payload) * val_stress_factor)</f>
        <v>291.17407024529638</v>
      </c>
      <c r="M3" s="1">
        <f>(Alice_Master_Analysis_View[[#This Row],[Sortie_75_energy_OpEx]]+Alice_Master_Analysis_View[[#This Row],[Depreciation_OpEx]]+val_ground_ops)</f>
        <v>1660.8807318452964</v>
      </c>
      <c r="N3" s="1">
        <f>Alice_Master_Analysis_View[[#This Row],[Payload(lbs)]]*val_yield_rate</f>
        <v>5577.4996307964348</v>
      </c>
      <c r="O3" s="1">
        <f>Alice_Master_Analysis_View[[#This Row],[Revenue]]-Alice_Master_Analysis_View[[#This Row],[Total_OpEx_75]]</f>
        <v>3916.6188989511384</v>
      </c>
      <c r="P3" s="1">
        <f>Alice_Master_Analysis_View[[#This Row],[Net_Profit_75]]/Alice_Master_Analysis_View[[#This Row],[Revenue]]</f>
        <v>0.70221768860823175</v>
      </c>
      <c r="Q3" s="1">
        <f>(Alice_Master_Analysis_View[[#This Row],[Start_SoC]]-(Alice_Master_Analysis_View[[#This Row],[Start_SoC]]-Alice_Master_Analysis_View[[#This Row],[Avg_Burn_rate_per_min]]*60))/100*val_capacity*val_elec_rate*val_charging_loss</f>
        <v>135.76532927999997</v>
      </c>
      <c r="R3" s="1">
        <f>Alice_Master_Analysis_View[[#This Row],[Revenue]]*60/75-(Alice_Master_Analysis_View[[#This Row],[Depreciation_OpEx]]+Alice_Master_Analysis_View[[#This Row],[Sortie_60_energy_OpEx]]+val_ground_ops)</f>
        <v>2835.0603051118519</v>
      </c>
      <c r="S3" s="1">
        <f>Alice_Master_Analysis_View[[#This Row],[Net_Profit_60]]/Alice_Master_Analysis_View[[#This Row],[Revenue]]*(60/75)</f>
        <v>0.40664247319109503</v>
      </c>
      <c r="T3" s="1">
        <f>(Alice_Master_Analysis_View[[#This Row],[Net_Profit_75]]-Alice_Master_Analysis_View[[#This Row],[Net_Profit_60]])/Alice_Master_Analysis_View[[#This Row],[Net_Profit_75]]</f>
        <v>0.27614598758355718</v>
      </c>
      <c r="U3" s="1">
        <f>Alice_Master_Analysis_View[[#This Row],[Net_Profit_60]]/(Alice_Master_Analysis_View[[#This Row],[Start_SoC]]-Alice_Master_Analysis_View[[#This Row],[End_SoC]])/100*850</f>
        <v>243.32783398608316</v>
      </c>
    </row>
    <row r="4" spans="1:21" x14ac:dyDescent="0.2">
      <c r="A4" s="1" t="s">
        <v>4</v>
      </c>
      <c r="B4">
        <v>99.085000000000008</v>
      </c>
      <c r="C4">
        <v>0.7</v>
      </c>
      <c r="D4">
        <v>1.3118000000000001</v>
      </c>
      <c r="E4">
        <v>21.292000000000002</v>
      </c>
      <c r="F4">
        <v>1516.2098099583991</v>
      </c>
      <c r="G4">
        <v>44.750618004282707</v>
      </c>
      <c r="H4" s="1" t="s">
        <v>5</v>
      </c>
      <c r="I4" s="1" t="s">
        <v>133</v>
      </c>
      <c r="J4">
        <v>1</v>
      </c>
      <c r="K4">
        <f>(Alice_Master_Analysis_View[[#This Row],[Start_SoC]]-Alice_Master_Analysis_View[[#This Row],[End_SoC]])/100*val_capacity*val_elec_rate*val_charging_loss</f>
        <v>168.59253600000002</v>
      </c>
      <c r="L4" s="1">
        <f>(val_battery_cost / val_cycle) * (1 + (Alice_Master_Analysis_View[[#This Row],[Payload(lbs)]] / val_max_payload) * val_stress_factor)</f>
        <v>268.71156223236267</v>
      </c>
      <c r="M4" s="1">
        <f>(Alice_Master_Analysis_View[[#This Row],[Sortie_75_energy_OpEx]]+Alice_Master_Analysis_View[[#This Row],[Depreciation_OpEx]]+val_ground_ops)</f>
        <v>1637.3040982323628</v>
      </c>
      <c r="N4" s="1">
        <f>Alice_Master_Analysis_View[[#This Row],[Payload(lbs)]]*val_yield_rate</f>
        <v>3411.4720724063982</v>
      </c>
      <c r="O4" s="1">
        <f>Alice_Master_Analysis_View[[#This Row],[Revenue]]-Alice_Master_Analysis_View[[#This Row],[Total_OpEx_75]]</f>
        <v>1774.1679741740354</v>
      </c>
      <c r="P4" s="1">
        <f>Alice_Master_Analysis_View[[#This Row],[Net_Profit_75]]/Alice_Master_Analysis_View[[#This Row],[Revenue]]</f>
        <v>0.52005935752027588</v>
      </c>
      <c r="Q4" s="1">
        <f>(Alice_Master_Analysis_View[[#This Row],[Start_SoC]]-(Alice_Master_Analysis_View[[#This Row],[Start_SoC]]-Alice_Master_Analysis_View[[#This Row],[Avg_Burn_rate_per_min]]*60))/100*val_capacity*val_elec_rate*val_charging_loss</f>
        <v>134.87402880000002</v>
      </c>
      <c r="R4" s="1">
        <f>Alice_Master_Analysis_View[[#This Row],[Revenue]]*60/75-(Alice_Master_Analysis_View[[#This Row],[Depreciation_OpEx]]+Alice_Master_Analysis_View[[#This Row],[Sortie_60_energy_OpEx]]+val_ground_ops)</f>
        <v>1125.5920668927561</v>
      </c>
      <c r="S4" s="1">
        <f>Alice_Master_Analysis_View[[#This Row],[Net_Profit_60]]/Alice_Master_Analysis_View[[#This Row],[Revenue]]*(60/75)</f>
        <v>0.26395457280675466</v>
      </c>
      <c r="T4" s="1">
        <f>(Alice_Master_Analysis_View[[#This Row],[Net_Profit_75]]-Alice_Master_Analysis_View[[#This Row],[Net_Profit_60]])/Alice_Master_Analysis_View[[#This Row],[Net_Profit_75]]</f>
        <v>0.36556623539731298</v>
      </c>
      <c r="U4" s="1">
        <f>Alice_Master_Analysis_View[[#This Row],[Net_Profit_60]]/(Alice_Master_Analysis_View[[#This Row],[Start_SoC]]-Alice_Master_Analysis_View[[#This Row],[End_SoC]])/100*850</f>
        <v>97.245846100405814</v>
      </c>
    </row>
    <row r="5" spans="1:21" x14ac:dyDescent="0.2">
      <c r="A5" s="1" t="s">
        <v>6</v>
      </c>
      <c r="B5">
        <v>99.038166666666669</v>
      </c>
      <c r="C5">
        <v>0</v>
      </c>
      <c r="D5">
        <v>1.320508888888889</v>
      </c>
      <c r="E5">
        <v>20.769466666666659</v>
      </c>
      <c r="F5">
        <v>2293.3281163142742</v>
      </c>
      <c r="G5">
        <v>44.454489569557552</v>
      </c>
      <c r="H5" s="1" t="s">
        <v>5</v>
      </c>
      <c r="I5" s="1" t="s">
        <v>133</v>
      </c>
      <c r="J5">
        <v>1</v>
      </c>
      <c r="K5">
        <f>(Alice_Master_Analysis_View[[#This Row],[Start_SoC]]-Alice_Master_Analysis_View[[#This Row],[End_SoC]])/100*val_capacity*val_elec_rate*val_charging_loss</f>
        <v>169.71180240000001</v>
      </c>
      <c r="L5" s="1">
        <f>(val_battery_cost / val_cycle) * (1 + (Alice_Master_Analysis_View[[#This Row],[Payload(lbs)]] / val_max_payload) * val_stress_factor)</f>
        <v>286.84432271399976</v>
      </c>
      <c r="M5" s="1">
        <f>(Alice_Master_Analysis_View[[#This Row],[Sortie_75_energy_OpEx]]+Alice_Master_Analysis_View[[#This Row],[Depreciation_OpEx]]+val_ground_ops)</f>
        <v>1656.5561251139998</v>
      </c>
      <c r="N5" s="1">
        <f>Alice_Master_Analysis_View[[#This Row],[Payload(lbs)]]*val_yield_rate</f>
        <v>5159.9882617071171</v>
      </c>
      <c r="O5" s="1">
        <f>Alice_Master_Analysis_View[[#This Row],[Revenue]]-Alice_Master_Analysis_View[[#This Row],[Total_OpEx_75]]</f>
        <v>3503.4321365931173</v>
      </c>
      <c r="P5" s="1">
        <f>Alice_Master_Analysis_View[[#This Row],[Net_Profit_75]]/Alice_Master_Analysis_View[[#This Row],[Revenue]]</f>
        <v>0.67896126093784004</v>
      </c>
      <c r="Q5" s="1">
        <f>(Alice_Master_Analysis_View[[#This Row],[Start_SoC]]-(Alice_Master_Analysis_View[[#This Row],[Start_SoC]]-Alice_Master_Analysis_View[[#This Row],[Avg_Burn_rate_per_min]]*60))/100*val_capacity*val_elec_rate*val_charging_loss</f>
        <v>135.76944192000002</v>
      </c>
      <c r="R5" s="1">
        <f>Alice_Master_Analysis_View[[#This Row],[Revenue]]*60/75-(Alice_Master_Analysis_View[[#This Row],[Depreciation_OpEx]]+Alice_Master_Analysis_View[[#This Row],[Sortie_60_energy_OpEx]]+val_ground_ops)</f>
        <v>2505.3768447316938</v>
      </c>
      <c r="S5" s="1">
        <f>Alice_Master_Analysis_View[[#This Row],[Net_Profit_60]]/Alice_Master_Analysis_View[[#This Row],[Revenue]]*(60/75)</f>
        <v>0.38843140219126338</v>
      </c>
      <c r="T5" s="1">
        <f>(Alice_Master_Analysis_View[[#This Row],[Net_Profit_75]]-Alice_Master_Analysis_View[[#This Row],[Net_Profit_60]])/Alice_Master_Analysis_View[[#This Row],[Net_Profit_75]]</f>
        <v>0.28487929919829241</v>
      </c>
      <c r="U5" s="1">
        <f>Alice_Master_Analysis_View[[#This Row],[Net_Profit_60]]/(Alice_Master_Analysis_View[[#This Row],[Start_SoC]]-Alice_Master_Analysis_View[[#This Row],[End_SoC]])/100*850</f>
        <v>215.02521600480014</v>
      </c>
    </row>
    <row r="6" spans="1:21" x14ac:dyDescent="0.2">
      <c r="A6" s="1" t="s">
        <v>7</v>
      </c>
      <c r="B6">
        <v>99.030833333333334</v>
      </c>
      <c r="C6">
        <v>0</v>
      </c>
      <c r="D6">
        <v>1.3204111111111112</v>
      </c>
      <c r="E6">
        <v>20.775333333333322</v>
      </c>
      <c r="F6">
        <v>2026.0389662839109</v>
      </c>
      <c r="G6">
        <v>-2.2340356766006275</v>
      </c>
      <c r="H6" s="1" t="s">
        <v>2</v>
      </c>
      <c r="I6" s="1" t="s">
        <v>133</v>
      </c>
      <c r="J6">
        <v>1</v>
      </c>
      <c r="K6">
        <f>(Alice_Master_Analysis_View[[#This Row],[Start_SoC]]-Alice_Master_Analysis_View[[#This Row],[End_SoC]])/100*val_capacity*val_elec_rate*val_charging_loss</f>
        <v>169.69923599999998</v>
      </c>
      <c r="L6" s="1">
        <f>(val_battery_cost / val_cycle) * (1 + (Alice_Master_Analysis_View[[#This Row],[Payload(lbs)]] / val_max_payload) * val_stress_factor)</f>
        <v>280.60757587995795</v>
      </c>
      <c r="M6" s="1">
        <f>(Alice_Master_Analysis_View[[#This Row],[Sortie_75_energy_OpEx]]+Alice_Master_Analysis_View[[#This Row],[Depreciation_OpEx]]+val_ground_ops)</f>
        <v>1650.3068118799579</v>
      </c>
      <c r="N6" s="1">
        <f>Alice_Master_Analysis_View[[#This Row],[Payload(lbs)]]*val_yield_rate</f>
        <v>4558.5876741387992</v>
      </c>
      <c r="O6" s="1">
        <f>Alice_Master_Analysis_View[[#This Row],[Revenue]]-Alice_Master_Analysis_View[[#This Row],[Total_OpEx_75]]</f>
        <v>2908.2808622588414</v>
      </c>
      <c r="P6" s="1">
        <f>Alice_Master_Analysis_View[[#This Row],[Net_Profit_75]]/Alice_Master_Analysis_View[[#This Row],[Revenue]]</f>
        <v>0.63797848591521689</v>
      </c>
      <c r="Q6" s="1">
        <f>(Alice_Master_Analysis_View[[#This Row],[Start_SoC]]-(Alice_Master_Analysis_View[[#This Row],[Start_SoC]]-Alice_Master_Analysis_View[[#This Row],[Avg_Burn_rate_per_min]]*60))/100*val_capacity*val_elec_rate*val_charging_loss</f>
        <v>135.75938880000004</v>
      </c>
      <c r="R6" s="1">
        <f>Alice_Master_Analysis_View[[#This Row],[Revenue]]*60/75-(Alice_Master_Analysis_View[[#This Row],[Depreciation_OpEx]]+Alice_Master_Analysis_View[[#This Row],[Sortie_60_energy_OpEx]]+val_ground_ops)</f>
        <v>2030.503174631081</v>
      </c>
      <c r="S6" s="1">
        <f>Alice_Master_Analysis_View[[#This Row],[Net_Profit_60]]/Alice_Master_Analysis_View[[#This Row],[Revenue]]*(60/75)</f>
        <v>0.35633899264902136</v>
      </c>
      <c r="T6" s="1">
        <f>(Alice_Master_Analysis_View[[#This Row],[Net_Profit_75]]-Alice_Master_Analysis_View[[#This Row],[Net_Profit_60]])/Alice_Master_Analysis_View[[#This Row],[Net_Profit_75]]</f>
        <v>0.30182012302140465</v>
      </c>
      <c r="U6" s="1">
        <f>Alice_Master_Analysis_View[[#This Row],[Net_Profit_60]]/(Alice_Master_Analysis_View[[#This Row],[Start_SoC]]-Alice_Master_Analysis_View[[#This Row],[End_SoC]])/100*850</f>
        <v>174.28185145398339</v>
      </c>
    </row>
    <row r="7" spans="1:21" x14ac:dyDescent="0.2">
      <c r="A7" s="1" t="s">
        <v>8</v>
      </c>
      <c r="B7">
        <v>99.166666666666671</v>
      </c>
      <c r="C7">
        <v>12.705500000000001</v>
      </c>
      <c r="D7">
        <v>1.1528155555555557</v>
      </c>
      <c r="E7">
        <v>30.831066666666658</v>
      </c>
      <c r="F7">
        <v>966.81298656826323</v>
      </c>
      <c r="G7">
        <v>21.116246305405681</v>
      </c>
      <c r="H7" s="1" t="s">
        <v>2</v>
      </c>
      <c r="I7" s="1" t="s">
        <v>133</v>
      </c>
      <c r="J7">
        <v>1</v>
      </c>
      <c r="K7">
        <f>(Alice_Master_Analysis_View[[#This Row],[Start_SoC]]-Alice_Master_Analysis_View[[#This Row],[End_SoC]])/100*val_capacity*val_elec_rate*val_charging_loss</f>
        <v>148.15985520000001</v>
      </c>
      <c r="L7" s="1">
        <f>(val_battery_cost / val_cycle) * (1 + (Alice_Master_Analysis_View[[#This Row],[Payload(lbs)]] / val_max_payload) * val_stress_factor)</f>
        <v>255.89230301992617</v>
      </c>
      <c r="M7" s="1">
        <f>(Alice_Master_Analysis_View[[#This Row],[Sortie_75_energy_OpEx]]+Alice_Master_Analysis_View[[#This Row],[Depreciation_OpEx]]+val_ground_ops)</f>
        <v>1604.0521582199262</v>
      </c>
      <c r="N7" s="1">
        <f>Alice_Master_Analysis_View[[#This Row],[Payload(lbs)]]*val_yield_rate</f>
        <v>2175.3292197785922</v>
      </c>
      <c r="O7" s="1">
        <f>Alice_Master_Analysis_View[[#This Row],[Revenue]]-Alice_Master_Analysis_View[[#This Row],[Total_OpEx_75]]</f>
        <v>571.27706155866599</v>
      </c>
      <c r="P7" s="1">
        <f>Alice_Master_Analysis_View[[#This Row],[Net_Profit_75]]/Alice_Master_Analysis_View[[#This Row],[Revenue]]</f>
        <v>0.26261636922102821</v>
      </c>
      <c r="Q7" s="1">
        <f>(Alice_Master_Analysis_View[[#This Row],[Start_SoC]]-(Alice_Master_Analysis_View[[#This Row],[Start_SoC]]-Alice_Master_Analysis_View[[#This Row],[Avg_Burn_rate_per_min]]*60))/100*val_capacity*val_elec_rate*val_charging_loss</f>
        <v>118.52788416000003</v>
      </c>
      <c r="R7" s="1">
        <f>Alice_Master_Analysis_View[[#This Row],[Revenue]]*60/75-(Alice_Master_Analysis_View[[#This Row],[Depreciation_OpEx]]+Alice_Master_Analysis_View[[#This Row],[Sortie_60_energy_OpEx]]+val_ground_ops)</f>
        <v>165.84318864294755</v>
      </c>
      <c r="S7" s="1">
        <f>Alice_Master_Analysis_View[[#This Row],[Net_Profit_60]]/Alice_Master_Analysis_View[[#This Row],[Revenue]]*(60/75)</f>
        <v>6.0990561662138593E-2</v>
      </c>
      <c r="T7" s="1">
        <f>(Alice_Master_Analysis_View[[#This Row],[Net_Profit_75]]-Alice_Master_Analysis_View[[#This Row],[Net_Profit_60]])/Alice_Master_Analysis_View[[#This Row],[Net_Profit_75]]</f>
        <v>0.70969744839664517</v>
      </c>
      <c r="U7" s="1">
        <f>Alice_Master_Analysis_View[[#This Row],[Net_Profit_60]]/(Alice_Master_Analysis_View[[#This Row],[Start_SoC]]-Alice_Master_Analysis_View[[#This Row],[End_SoC]])/100*850</f>
        <v>16.304049064012023</v>
      </c>
    </row>
    <row r="8" spans="1:21" x14ac:dyDescent="0.2">
      <c r="A8" s="1" t="s">
        <v>9</v>
      </c>
      <c r="B8">
        <v>99.096333333333334</v>
      </c>
      <c r="C8">
        <v>10.777666666666667</v>
      </c>
      <c r="D8">
        <v>1.1775822222222223</v>
      </c>
      <c r="E8">
        <v>29.345066666666668</v>
      </c>
      <c r="F8">
        <v>2238.6142266665197</v>
      </c>
      <c r="G8">
        <v>23.531614105382953</v>
      </c>
      <c r="H8" s="1" t="s">
        <v>2</v>
      </c>
      <c r="I8" s="1" t="s">
        <v>133</v>
      </c>
      <c r="J8">
        <v>1</v>
      </c>
      <c r="K8">
        <f>(Alice_Master_Analysis_View[[#This Row],[Start_SoC]]-Alice_Master_Analysis_View[[#This Row],[End_SoC]])/100*val_capacity*val_elec_rate*val_charging_loss</f>
        <v>151.3428672</v>
      </c>
      <c r="L8" s="1">
        <f>(val_battery_cost / val_cycle) * (1 + (Alice_Master_Analysis_View[[#This Row],[Payload(lbs)]] / val_max_payload) * val_stress_factor)</f>
        <v>285.56766528888545</v>
      </c>
      <c r="M8" s="1">
        <f>(Alice_Master_Analysis_View[[#This Row],[Sortie_75_energy_OpEx]]+Alice_Master_Analysis_View[[#This Row],[Depreciation_OpEx]]+val_ground_ops)</f>
        <v>1636.9105324888856</v>
      </c>
      <c r="N8" s="1">
        <f>Alice_Master_Analysis_View[[#This Row],[Payload(lbs)]]*val_yield_rate</f>
        <v>5036.8820099996692</v>
      </c>
      <c r="O8" s="1">
        <f>Alice_Master_Analysis_View[[#This Row],[Revenue]]-Alice_Master_Analysis_View[[#This Row],[Total_OpEx_75]]</f>
        <v>3399.9714775107836</v>
      </c>
      <c r="P8" s="1">
        <f>Alice_Master_Analysis_View[[#This Row],[Net_Profit_75]]/Alice_Master_Analysis_View[[#This Row],[Revenue]]</f>
        <v>0.675015112675035</v>
      </c>
      <c r="Q8" s="1">
        <f>(Alice_Master_Analysis_View[[#This Row],[Start_SoC]]-(Alice_Master_Analysis_View[[#This Row],[Start_SoC]]-Alice_Master_Analysis_View[[#This Row],[Avg_Burn_rate_per_min]]*60))/100*val_capacity*val_elec_rate*val_charging_loss</f>
        <v>121.07429376000002</v>
      </c>
      <c r="R8" s="1">
        <f>Alice_Master_Analysis_View[[#This Row],[Revenue]]*60/75-(Alice_Master_Analysis_View[[#This Row],[Depreciation_OpEx]]+Alice_Master_Analysis_View[[#This Row],[Sortie_60_energy_OpEx]]+val_ground_ops)</f>
        <v>2422.8636489508503</v>
      </c>
      <c r="S8" s="1">
        <f>Alice_Master_Analysis_View[[#This Row],[Net_Profit_60]]/Alice_Master_Analysis_View[[#This Row],[Revenue]]*(60/75)</f>
        <v>0.38481959976680247</v>
      </c>
      <c r="T8" s="1">
        <f>(Alice_Master_Analysis_View[[#This Row],[Net_Profit_75]]-Alice_Master_Analysis_View[[#This Row],[Net_Profit_60]])/Alice_Master_Analysis_View[[#This Row],[Net_Profit_75]]</f>
        <v>0.28738706633953937</v>
      </c>
      <c r="U8" s="1">
        <f>Alice_Master_Analysis_View[[#This Row],[Net_Profit_60]]/(Alice_Master_Analysis_View[[#This Row],[Start_SoC]]-Alice_Master_Analysis_View[[#This Row],[End_SoC]])/100*850</f>
        <v>233.18220024549996</v>
      </c>
    </row>
    <row r="9" spans="1:21" x14ac:dyDescent="0.2">
      <c r="A9" s="1" t="s">
        <v>10</v>
      </c>
      <c r="B9">
        <v>99.116</v>
      </c>
      <c r="C9">
        <v>10.3055</v>
      </c>
      <c r="D9">
        <v>1.18414</v>
      </c>
      <c r="E9">
        <v>28.951599999999999</v>
      </c>
      <c r="F9">
        <v>1961.6395275356861</v>
      </c>
      <c r="G9">
        <v>24.384000097013381</v>
      </c>
      <c r="H9" s="1" t="s">
        <v>2</v>
      </c>
      <c r="I9" s="1" t="s">
        <v>133</v>
      </c>
      <c r="J9">
        <v>1</v>
      </c>
      <c r="K9">
        <f>(Alice_Master_Analysis_View[[#This Row],[Start_SoC]]-Alice_Master_Analysis_View[[#This Row],[End_SoC]])/100*val_capacity*val_elec_rate*val_charging_loss</f>
        <v>152.18567280000002</v>
      </c>
      <c r="L9" s="1">
        <f>(val_battery_cost / val_cycle) * (1 + (Alice_Master_Analysis_View[[#This Row],[Payload(lbs)]] / val_max_payload) * val_stress_factor)</f>
        <v>279.104922309166</v>
      </c>
      <c r="M9" s="1">
        <f>(Alice_Master_Analysis_View[[#This Row],[Sortie_75_energy_OpEx]]+Alice_Master_Analysis_View[[#This Row],[Depreciation_OpEx]]+val_ground_ops)</f>
        <v>1631.2905951091661</v>
      </c>
      <c r="N9" s="1">
        <f>Alice_Master_Analysis_View[[#This Row],[Payload(lbs)]]*val_yield_rate</f>
        <v>4413.6889369552937</v>
      </c>
      <c r="O9" s="1">
        <f>Alice_Master_Analysis_View[[#This Row],[Revenue]]-Alice_Master_Analysis_View[[#This Row],[Total_OpEx_75]]</f>
        <v>2782.3983418461276</v>
      </c>
      <c r="P9" s="1">
        <f>Alice_Master_Analysis_View[[#This Row],[Net_Profit_75]]/Alice_Master_Analysis_View[[#This Row],[Revenue]]</f>
        <v>0.63040200195111995</v>
      </c>
      <c r="Q9" s="1">
        <f>(Alice_Master_Analysis_View[[#This Row],[Start_SoC]]-(Alice_Master_Analysis_View[[#This Row],[Start_SoC]]-Alice_Master_Analysis_View[[#This Row],[Avg_Burn_rate_per_min]]*60))/100*val_capacity*val_elec_rate*val_charging_loss</f>
        <v>121.74853824</v>
      </c>
      <c r="R9" s="1">
        <f>Alice_Master_Analysis_View[[#This Row],[Revenue]]*60/75-(Alice_Master_Analysis_View[[#This Row],[Depreciation_OpEx]]+Alice_Master_Analysis_View[[#This Row],[Sortie_60_energy_OpEx]]+val_ground_ops)</f>
        <v>1930.0976890150691</v>
      </c>
      <c r="S9" s="1">
        <f>Alice_Master_Analysis_View[[#This Row],[Net_Profit_60]]/Alice_Master_Analysis_View[[#This Row],[Revenue]]*(60/75)</f>
        <v>0.34983846239903138</v>
      </c>
      <c r="T9" s="1">
        <f>(Alice_Master_Analysis_View[[#This Row],[Net_Profit_75]]-Alice_Master_Analysis_View[[#This Row],[Net_Profit_60]])/Alice_Master_Analysis_View[[#This Row],[Net_Profit_75]]</f>
        <v>0.30631870354895158</v>
      </c>
      <c r="U9" s="1">
        <f>Alice_Master_Analysis_View[[#This Row],[Net_Profit_60]]/(Alice_Master_Analysis_View[[#This Row],[Start_SoC]]-Alice_Master_Analysis_View[[#This Row],[End_SoC]])/100*850</f>
        <v>184.72849895708376</v>
      </c>
    </row>
    <row r="10" spans="1:21" x14ac:dyDescent="0.2">
      <c r="A10" s="1" t="s">
        <v>11</v>
      </c>
      <c r="B10">
        <v>99.18</v>
      </c>
      <c r="C10">
        <v>14.660833333333333</v>
      </c>
      <c r="D10">
        <v>1.1269222222222224</v>
      </c>
      <c r="E10">
        <v>32.384666666666661</v>
      </c>
      <c r="F10">
        <v>714.97826268347023</v>
      </c>
      <c r="G10">
        <v>29.54708405099862</v>
      </c>
      <c r="H10" s="1" t="s">
        <v>2</v>
      </c>
      <c r="I10" s="1" t="s">
        <v>133</v>
      </c>
      <c r="J10">
        <v>1</v>
      </c>
      <c r="K10">
        <f>(Alice_Master_Analysis_View[[#This Row],[Start_SoC]]-Alice_Master_Analysis_View[[#This Row],[End_SoC]])/100*val_capacity*val_elec_rate*val_charging_loss</f>
        <v>144.83204400000005</v>
      </c>
      <c r="L10" s="1">
        <f>(val_battery_cost / val_cycle) * (1 + (Alice_Master_Analysis_View[[#This Row],[Payload(lbs)]] / val_max_payload) * val_stress_factor)</f>
        <v>250.0161594626143</v>
      </c>
      <c r="M10" s="1">
        <f>(Alice_Master_Analysis_View[[#This Row],[Sortie_75_energy_OpEx]]+Alice_Master_Analysis_View[[#This Row],[Depreciation_OpEx]]+val_ground_ops)</f>
        <v>1594.8482034626145</v>
      </c>
      <c r="N10" s="1">
        <f>Alice_Master_Analysis_View[[#This Row],[Payload(lbs)]]*val_yield_rate</f>
        <v>1608.7010910378081</v>
      </c>
      <c r="O10" s="1">
        <f>Alice_Master_Analysis_View[[#This Row],[Revenue]]-Alice_Master_Analysis_View[[#This Row],[Total_OpEx_75]]</f>
        <v>13.852887575193563</v>
      </c>
      <c r="P10" s="1">
        <f>Alice_Master_Analysis_View[[#This Row],[Net_Profit_75]]/Alice_Master_Analysis_View[[#This Row],[Revenue]]</f>
        <v>8.6112253248095735E-3</v>
      </c>
      <c r="Q10" s="1">
        <f>(Alice_Master_Analysis_View[[#This Row],[Start_SoC]]-(Alice_Master_Analysis_View[[#This Row],[Start_SoC]]-Alice_Master_Analysis_View[[#This Row],[Avg_Burn_rate_per_min]]*60))/100*val_capacity*val_elec_rate*val_charging_loss</f>
        <v>115.86563520000003</v>
      </c>
      <c r="R10" s="1">
        <f>Alice_Master_Analysis_View[[#This Row],[Revenue]]*60/75-(Alice_Master_Analysis_View[[#This Row],[Depreciation_OpEx]]+Alice_Master_Analysis_View[[#This Row],[Sortie_60_energy_OpEx]]+val_ground_ops)</f>
        <v>-278.92092183236787</v>
      </c>
      <c r="S10" s="1">
        <f>Alice_Master_Analysis_View[[#This Row],[Net_Profit_60]]/Alice_Master_Analysis_View[[#This Row],[Revenue]]*(60/75)</f>
        <v>-0.13870615163314395</v>
      </c>
      <c r="T10" s="1">
        <f>(Alice_Master_Analysis_View[[#This Row],[Net_Profit_75]]-Alice_Master_Analysis_View[[#This Row],[Net_Profit_60]])/Alice_Master_Analysis_View[[#This Row],[Net_Profit_75]]</f>
        <v>21.134496892318175</v>
      </c>
      <c r="U10" s="1">
        <f>Alice_Master_Analysis_View[[#This Row],[Net_Profit_60]]/(Alice_Master_Analysis_View[[#This Row],[Start_SoC]]-Alice_Master_Analysis_View[[#This Row],[End_SoC]])/100*850</f>
        <v>-28.050771547776659</v>
      </c>
    </row>
    <row r="11" spans="1:21" x14ac:dyDescent="0.2">
      <c r="A11" s="1" t="s">
        <v>12</v>
      </c>
      <c r="B11">
        <v>99.05083333333333</v>
      </c>
      <c r="C11">
        <v>0</v>
      </c>
      <c r="D11">
        <v>1.3206777777777778</v>
      </c>
      <c r="E11">
        <v>20.759333333333331</v>
      </c>
      <c r="F11">
        <v>2168.9559645655763</v>
      </c>
      <c r="G11">
        <v>7.1478090448323144</v>
      </c>
      <c r="H11" s="1" t="s">
        <v>2</v>
      </c>
      <c r="I11" s="1" t="s">
        <v>133</v>
      </c>
      <c r="J11">
        <v>1</v>
      </c>
      <c r="K11">
        <f>(Alice_Master_Analysis_View[[#This Row],[Start_SoC]]-Alice_Master_Analysis_View[[#This Row],[End_SoC]])/100*val_capacity*val_elec_rate*val_charging_loss</f>
        <v>169.73350800000003</v>
      </c>
      <c r="L11" s="1">
        <f>(val_battery_cost / val_cycle) * (1 + (Alice_Master_Analysis_View[[#This Row],[Payload(lbs)]] / val_max_payload) * val_stress_factor)</f>
        <v>283.94230583986342</v>
      </c>
      <c r="M11" s="1">
        <f>(Alice_Master_Analysis_View[[#This Row],[Sortie_75_energy_OpEx]]+Alice_Master_Analysis_View[[#This Row],[Depreciation_OpEx]]+val_ground_ops)</f>
        <v>1653.6758138398634</v>
      </c>
      <c r="N11" s="1">
        <f>Alice_Master_Analysis_View[[#This Row],[Payload(lbs)]]*val_yield_rate</f>
        <v>4880.1509202725465</v>
      </c>
      <c r="O11" s="1">
        <f>Alice_Master_Analysis_View[[#This Row],[Revenue]]-Alice_Master_Analysis_View[[#This Row],[Total_OpEx_75]]</f>
        <v>3226.4751064326829</v>
      </c>
      <c r="P11" s="1">
        <f>Alice_Master_Analysis_View[[#This Row],[Net_Profit_75]]/Alice_Master_Analysis_View[[#This Row],[Revenue]]</f>
        <v>0.66114248496488937</v>
      </c>
      <c r="Q11" s="1">
        <f>(Alice_Master_Analysis_View[[#This Row],[Start_SoC]]-(Alice_Master_Analysis_View[[#This Row],[Start_SoC]]-Alice_Master_Analysis_View[[#This Row],[Avg_Burn_rate_per_min]]*60))/100*val_capacity*val_elec_rate*val_charging_loss</f>
        <v>135.78680640000002</v>
      </c>
      <c r="R11" s="1">
        <f>Alice_Master_Analysis_View[[#This Row],[Revenue]]*60/75-(Alice_Master_Analysis_View[[#This Row],[Depreciation_OpEx]]+Alice_Master_Analysis_View[[#This Row],[Sortie_60_energy_OpEx]]+val_ground_ops)</f>
        <v>2284.3916239781743</v>
      </c>
      <c r="S11" s="1">
        <f>Alice_Master_Analysis_View[[#This Row],[Net_Profit_60]]/Alice_Master_Analysis_View[[#This Row],[Revenue]]*(60/75)</f>
        <v>0.37447884892061423</v>
      </c>
      <c r="T11" s="1">
        <f>(Alice_Master_Analysis_View[[#This Row],[Net_Profit_75]]-Alice_Master_Analysis_View[[#This Row],[Net_Profit_60]])/Alice_Master_Analysis_View[[#This Row],[Net_Profit_75]]</f>
        <v>0.29198535596207126</v>
      </c>
      <c r="U11" s="1">
        <f>Alice_Master_Analysis_View[[#This Row],[Net_Profit_60]]/(Alice_Master_Analysis_View[[#This Row],[Start_SoC]]-Alice_Master_Analysis_View[[#This Row],[End_SoC]])/100*850</f>
        <v>196.03397720511674</v>
      </c>
    </row>
    <row r="12" spans="1:21" x14ac:dyDescent="0.2">
      <c r="A12" s="1" t="s">
        <v>13</v>
      </c>
      <c r="B12">
        <v>99.180999999999997</v>
      </c>
      <c r="C12">
        <v>14.781666666666666</v>
      </c>
      <c r="D12">
        <v>1.1253244444444443</v>
      </c>
      <c r="E12">
        <v>32.480533333333341</v>
      </c>
      <c r="F12">
        <v>830.05512493529898</v>
      </c>
      <c r="G12">
        <v>23.024756051742649</v>
      </c>
      <c r="H12" s="1" t="s">
        <v>5</v>
      </c>
      <c r="I12" s="1" t="s">
        <v>133</v>
      </c>
      <c r="J12">
        <v>1</v>
      </c>
      <c r="K12">
        <f>(Alice_Master_Analysis_View[[#This Row],[Start_SoC]]-Alice_Master_Analysis_View[[#This Row],[End_SoC]])/100*val_capacity*val_elec_rate*val_charging_loss</f>
        <v>144.6266976</v>
      </c>
      <c r="L12" s="1">
        <f>(val_battery_cost / val_cycle) * (1 + (Alice_Master_Analysis_View[[#This Row],[Payload(lbs)]] / val_max_payload) * val_stress_factor)</f>
        <v>252.70128624849031</v>
      </c>
      <c r="M12" s="1">
        <f>(Alice_Master_Analysis_View[[#This Row],[Sortie_75_energy_OpEx]]+Alice_Master_Analysis_View[[#This Row],[Depreciation_OpEx]]+val_ground_ops)</f>
        <v>1597.3279838484902</v>
      </c>
      <c r="N12" s="1">
        <f>Alice_Master_Analysis_View[[#This Row],[Payload(lbs)]]*val_yield_rate</f>
        <v>1867.6240311044228</v>
      </c>
      <c r="O12" s="1">
        <f>Alice_Master_Analysis_View[[#This Row],[Revenue]]-Alice_Master_Analysis_View[[#This Row],[Total_OpEx_75]]</f>
        <v>270.29604725593254</v>
      </c>
      <c r="P12" s="1">
        <f>Alice_Master_Analysis_View[[#This Row],[Net_Profit_75]]/Alice_Master_Analysis_View[[#This Row],[Revenue]]</f>
        <v>0.14472722708332925</v>
      </c>
      <c r="Q12" s="1">
        <f>(Alice_Master_Analysis_View[[#This Row],[Start_SoC]]-(Alice_Master_Analysis_View[[#This Row],[Start_SoC]]-Alice_Master_Analysis_View[[#This Row],[Avg_Burn_rate_per_min]]*60))/100*val_capacity*val_elec_rate*val_charging_loss</f>
        <v>115.70135807999999</v>
      </c>
      <c r="R12" s="1">
        <f>Alice_Master_Analysis_View[[#This Row],[Revenue]]*60/75-(Alice_Master_Analysis_View[[#This Row],[Depreciation_OpEx]]+Alice_Master_Analysis_View[[#This Row],[Sortie_60_energy_OpEx]]+val_ground_ops)</f>
        <v>-74.303419444951942</v>
      </c>
      <c r="S12" s="1">
        <f>Alice_Master_Analysis_View[[#This Row],[Net_Profit_60]]/Alice_Master_Analysis_View[[#This Row],[Revenue]]*(60/75)</f>
        <v>-3.1827998872347982E-2</v>
      </c>
      <c r="T12" s="1">
        <f>(Alice_Master_Analysis_View[[#This Row],[Net_Profit_75]]-Alice_Master_Analysis_View[[#This Row],[Net_Profit_60]])/Alice_Master_Analysis_View[[#This Row],[Net_Profit_75]]</f>
        <v>1.2748964337410269</v>
      </c>
      <c r="U12" s="1">
        <f>Alice_Master_Analysis_View[[#This Row],[Net_Profit_60]]/(Alice_Master_Analysis_View[[#This Row],[Start_SoC]]-Alice_Master_Analysis_View[[#This Row],[End_SoC]])/100*850</f>
        <v>-7.4832233897829941</v>
      </c>
    </row>
    <row r="13" spans="1:21" x14ac:dyDescent="0.2">
      <c r="A13" s="1" t="s">
        <v>14</v>
      </c>
      <c r="B13">
        <v>99.06</v>
      </c>
      <c r="C13">
        <v>0</v>
      </c>
      <c r="D13">
        <v>1.3208</v>
      </c>
      <c r="E13">
        <v>20.751999999999995</v>
      </c>
      <c r="F13">
        <v>1545.7350434124969</v>
      </c>
      <c r="G13">
        <v>-2.3371035101502411</v>
      </c>
      <c r="H13" s="1" t="s">
        <v>2</v>
      </c>
      <c r="I13" s="1" t="s">
        <v>133</v>
      </c>
      <c r="J13">
        <v>1</v>
      </c>
      <c r="K13">
        <f>(Alice_Master_Analysis_View[[#This Row],[Start_SoC]]-Alice_Master_Analysis_View[[#This Row],[End_SoC]])/100*val_capacity*val_elec_rate*val_charging_loss</f>
        <v>169.74921600000002</v>
      </c>
      <c r="L13" s="1">
        <f>(val_battery_cost / val_cycle) * (1 + (Alice_Master_Analysis_View[[#This Row],[Payload(lbs)]] / val_max_payload) * val_stress_factor)</f>
        <v>269.40048434629159</v>
      </c>
      <c r="M13" s="1">
        <f>(Alice_Master_Analysis_View[[#This Row],[Sortie_75_energy_OpEx]]+Alice_Master_Analysis_View[[#This Row],[Depreciation_OpEx]]+val_ground_ops)</f>
        <v>1639.1497003462916</v>
      </c>
      <c r="N13" s="1">
        <f>Alice_Master_Analysis_View[[#This Row],[Payload(lbs)]]*val_yield_rate</f>
        <v>3477.9038476781179</v>
      </c>
      <c r="O13" s="1">
        <f>Alice_Master_Analysis_View[[#This Row],[Revenue]]-Alice_Master_Analysis_View[[#This Row],[Total_OpEx_75]]</f>
        <v>1838.7541473318263</v>
      </c>
      <c r="P13" s="1">
        <f>Alice_Master_Analysis_View[[#This Row],[Net_Profit_75]]/Alice_Master_Analysis_View[[#This Row],[Revenue]]</f>
        <v>0.52869608472913832</v>
      </c>
      <c r="Q13" s="1">
        <f>(Alice_Master_Analysis_View[[#This Row],[Start_SoC]]-(Alice_Master_Analysis_View[[#This Row],[Start_SoC]]-Alice_Master_Analysis_View[[#This Row],[Avg_Burn_rate_per_min]]*60))/100*val_capacity*val_elec_rate*val_charging_loss</f>
        <v>135.79937280000001</v>
      </c>
      <c r="R13" s="1">
        <f>Alice_Master_Analysis_View[[#This Row],[Revenue]]*60/75-(Alice_Master_Analysis_View[[#This Row],[Depreciation_OpEx]]+Alice_Master_Analysis_View[[#This Row],[Sortie_60_energy_OpEx]]+val_ground_ops)</f>
        <v>1177.1232209962025</v>
      </c>
      <c r="S13" s="1">
        <f>Alice_Master_Analysis_View[[#This Row],[Net_Profit_60]]/Alice_Master_Analysis_View[[#This Row],[Revenue]]*(60/75)</f>
        <v>0.27076613329193933</v>
      </c>
      <c r="T13" s="1">
        <f>(Alice_Master_Analysis_View[[#This Row],[Net_Profit_75]]-Alice_Master_Analysis_View[[#This Row],[Net_Profit_60]])/Alice_Master_Analysis_View[[#This Row],[Net_Profit_75]]</f>
        <v>0.35982566092139134</v>
      </c>
      <c r="U13" s="1">
        <f>Alice_Master_Analysis_View[[#This Row],[Net_Profit_60]]/(Alice_Master_Analysis_View[[#This Row],[Start_SoC]]-Alice_Master_Analysis_View[[#This Row],[End_SoC]])/100*850</f>
        <v>101.0049200329873</v>
      </c>
    </row>
    <row r="14" spans="1:21" x14ac:dyDescent="0.2">
      <c r="A14" s="1" t="s">
        <v>15</v>
      </c>
      <c r="B14">
        <v>99.085000000000008</v>
      </c>
      <c r="C14">
        <v>0.57233333333333336</v>
      </c>
      <c r="D14">
        <v>1.3135022222222223</v>
      </c>
      <c r="E14">
        <v>21.18986666666666</v>
      </c>
      <c r="F14">
        <v>1685.6301646707304</v>
      </c>
      <c r="G14">
        <v>41.647991704923697</v>
      </c>
      <c r="H14" s="1" t="s">
        <v>2</v>
      </c>
      <c r="I14" s="1" t="s">
        <v>133</v>
      </c>
      <c r="J14">
        <v>1</v>
      </c>
      <c r="K14">
        <f>(Alice_Master_Analysis_View[[#This Row],[Start_SoC]]-Alice_Master_Analysis_View[[#This Row],[End_SoC]])/100*val_capacity*val_elec_rate*val_charging_loss</f>
        <v>168.81130560000003</v>
      </c>
      <c r="L14" s="1">
        <f>(val_battery_cost / val_cycle) * (1 + (Alice_Master_Analysis_View[[#This Row],[Payload(lbs)]] / val_max_payload) * val_stress_factor)</f>
        <v>272.66470384231707</v>
      </c>
      <c r="M14" s="1">
        <f>(Alice_Master_Analysis_View[[#This Row],[Sortie_75_energy_OpEx]]+Alice_Master_Analysis_View[[#This Row],[Depreciation_OpEx]]+val_ground_ops)</f>
        <v>1641.476009442317</v>
      </c>
      <c r="N14" s="1">
        <f>Alice_Master_Analysis_View[[#This Row],[Payload(lbs)]]*val_yield_rate</f>
        <v>3792.6678705091435</v>
      </c>
      <c r="O14" s="1">
        <f>Alice_Master_Analysis_View[[#This Row],[Revenue]]-Alice_Master_Analysis_View[[#This Row],[Total_OpEx_75]]</f>
        <v>2151.1918610668263</v>
      </c>
      <c r="P14" s="1">
        <f>Alice_Master_Analysis_View[[#This Row],[Net_Profit_75]]/Alice_Master_Analysis_View[[#This Row],[Revenue]]</f>
        <v>0.5671975333759034</v>
      </c>
      <c r="Q14" s="1">
        <f>(Alice_Master_Analysis_View[[#This Row],[Start_SoC]]-(Alice_Master_Analysis_View[[#This Row],[Start_SoC]]-Alice_Master_Analysis_View[[#This Row],[Avg_Burn_rate_per_min]]*60))/100*val_capacity*val_elec_rate*val_charging_loss</f>
        <v>135.04904448000002</v>
      </c>
      <c r="R14" s="1">
        <f>Alice_Master_Analysis_View[[#This Row],[Revenue]]*60/75-(Alice_Master_Analysis_View[[#This Row],[Depreciation_OpEx]]+Alice_Master_Analysis_View[[#This Row],[Sortie_60_energy_OpEx]]+val_ground_ops)</f>
        <v>1426.4205480849976</v>
      </c>
      <c r="S14" s="1">
        <f>Alice_Master_Analysis_View[[#This Row],[Net_Profit_60]]/Alice_Master_Analysis_View[[#This Row],[Revenue]]*(60/75)</f>
        <v>0.3008796123017245</v>
      </c>
      <c r="T14" s="1">
        <f>(Alice_Master_Analysis_View[[#This Row],[Net_Profit_75]]-Alice_Master_Analysis_View[[#This Row],[Net_Profit_60]])/Alice_Master_Analysis_View[[#This Row],[Net_Profit_75]]</f>
        <v>0.33691616545183362</v>
      </c>
      <c r="U14" s="1">
        <f>Alice_Master_Analysis_View[[#This Row],[Net_Profit_60]]/(Alice_Master_Analysis_View[[#This Row],[Start_SoC]]-Alice_Master_Analysis_View[[#This Row],[End_SoC]])/100*850</f>
        <v>123.07630144403574</v>
      </c>
    </row>
    <row r="15" spans="1:21" x14ac:dyDescent="0.2">
      <c r="A15" s="1" t="s">
        <v>16</v>
      </c>
      <c r="B15">
        <v>99.100833333333341</v>
      </c>
      <c r="C15">
        <v>10.536166666666666</v>
      </c>
      <c r="D15">
        <v>1.1808622222222225</v>
      </c>
      <c r="E15">
        <v>29.148266666666657</v>
      </c>
      <c r="F15">
        <v>1726.6509320393063</v>
      </c>
      <c r="G15">
        <v>35.292584402213102</v>
      </c>
      <c r="H15" s="1" t="s">
        <v>2</v>
      </c>
      <c r="I15" s="1" t="s">
        <v>133</v>
      </c>
      <c r="J15">
        <v>1</v>
      </c>
      <c r="K15">
        <f>(Alice_Master_Analysis_View[[#This Row],[Start_SoC]]-Alice_Master_Analysis_View[[#This Row],[End_SoC]])/100*val_capacity*val_elec_rate*val_charging_loss</f>
        <v>151.76441280000006</v>
      </c>
      <c r="L15" s="1">
        <f>(val_battery_cost / val_cycle) * (1 + (Alice_Master_Analysis_View[[#This Row],[Payload(lbs)]] / val_max_payload) * val_stress_factor)</f>
        <v>273.62185508091716</v>
      </c>
      <c r="M15" s="1">
        <f>(Alice_Master_Analysis_View[[#This Row],[Sortie_75_energy_OpEx]]+Alice_Master_Analysis_View[[#This Row],[Depreciation_OpEx]]+val_ground_ops)</f>
        <v>1625.3862678809173</v>
      </c>
      <c r="N15" s="1">
        <f>Alice_Master_Analysis_View[[#This Row],[Payload(lbs)]]*val_yield_rate</f>
        <v>3884.9645970884394</v>
      </c>
      <c r="O15" s="1">
        <f>Alice_Master_Analysis_View[[#This Row],[Revenue]]-Alice_Master_Analysis_View[[#This Row],[Total_OpEx_75]]</f>
        <v>2259.5783292075221</v>
      </c>
      <c r="P15" s="1">
        <f>Alice_Master_Analysis_View[[#This Row],[Net_Profit_75]]/Alice_Master_Analysis_View[[#This Row],[Revenue]]</f>
        <v>0.58162134370566665</v>
      </c>
      <c r="Q15" s="1">
        <f>(Alice_Master_Analysis_View[[#This Row],[Start_SoC]]-(Alice_Master_Analysis_View[[#This Row],[Start_SoC]]-Alice_Master_Analysis_View[[#This Row],[Avg_Burn_rate_per_min]]*60))/100*val_capacity*val_elec_rate*val_charging_loss</f>
        <v>121.41153024000003</v>
      </c>
      <c r="R15" s="1">
        <f>Alice_Master_Analysis_View[[#This Row],[Revenue]]*60/75-(Alice_Master_Analysis_View[[#This Row],[Depreciation_OpEx]]+Alice_Master_Analysis_View[[#This Row],[Sortie_60_energy_OpEx]]+val_ground_ops)</f>
        <v>1512.9382923498342</v>
      </c>
      <c r="S15" s="1">
        <f>Alice_Master_Analysis_View[[#This Row],[Net_Profit_60]]/Alice_Master_Analysis_View[[#This Row],[Revenue]]*(60/75)</f>
        <v>0.31154740374904744</v>
      </c>
      <c r="T15" s="1">
        <f>(Alice_Master_Analysis_View[[#This Row],[Net_Profit_75]]-Alice_Master_Analysis_View[[#This Row],[Net_Profit_60]])/Alice_Master_Analysis_View[[#This Row],[Net_Profit_75]]</f>
        <v>0.33043334997797974</v>
      </c>
      <c r="U15" s="1">
        <f>Alice_Master_Analysis_View[[#This Row],[Net_Profit_60]]/(Alice_Master_Analysis_View[[#This Row],[Start_SoC]]-Alice_Master_Analysis_View[[#This Row],[End_SoC]])/100*850</f>
        <v>145.20435709846956</v>
      </c>
    </row>
    <row r="16" spans="1:21" x14ac:dyDescent="0.2">
      <c r="A16" s="1" t="s">
        <v>17</v>
      </c>
      <c r="B16">
        <v>99.114666666666665</v>
      </c>
      <c r="C16">
        <v>10.132166666666667</v>
      </c>
      <c r="D16">
        <v>1.1864333333333335</v>
      </c>
      <c r="E16">
        <v>28.813999999999993</v>
      </c>
      <c r="F16">
        <v>1675.9624596393071</v>
      </c>
      <c r="G16">
        <v>18.243523388153253</v>
      </c>
      <c r="H16" s="1" t="s">
        <v>2</v>
      </c>
      <c r="I16" s="1" t="s">
        <v>133</v>
      </c>
      <c r="J16">
        <v>1</v>
      </c>
      <c r="K16">
        <f>(Alice_Master_Analysis_View[[#This Row],[Start_SoC]]-Alice_Master_Analysis_View[[#This Row],[End_SoC]])/100*val_capacity*val_elec_rate*val_charging_loss</f>
        <v>152.48041199999997</v>
      </c>
      <c r="L16" s="1">
        <f>(val_battery_cost / val_cycle) * (1 + (Alice_Master_Analysis_View[[#This Row],[Payload(lbs)]] / val_max_payload) * val_stress_factor)</f>
        <v>272.43912405825051</v>
      </c>
      <c r="M16" s="1">
        <f>(Alice_Master_Analysis_View[[#This Row],[Sortie_75_energy_OpEx]]+Alice_Master_Analysis_View[[#This Row],[Depreciation_OpEx]]+val_ground_ops)</f>
        <v>1624.9195360582505</v>
      </c>
      <c r="N16" s="1">
        <f>Alice_Master_Analysis_View[[#This Row],[Payload(lbs)]]*val_yield_rate</f>
        <v>3770.9155341884411</v>
      </c>
      <c r="O16" s="1">
        <f>Alice_Master_Analysis_View[[#This Row],[Revenue]]-Alice_Master_Analysis_View[[#This Row],[Total_OpEx_75]]</f>
        <v>2145.9959981301909</v>
      </c>
      <c r="P16" s="1">
        <f>Alice_Master_Analysis_View[[#This Row],[Net_Profit_75]]/Alice_Master_Analysis_View[[#This Row],[Revenue]]</f>
        <v>0.56909150541130915</v>
      </c>
      <c r="Q16" s="1">
        <f>(Alice_Master_Analysis_View[[#This Row],[Start_SoC]]-(Alice_Master_Analysis_View[[#This Row],[Start_SoC]]-Alice_Master_Analysis_View[[#This Row],[Avg_Burn_rate_per_min]]*60))/100*val_capacity*val_elec_rate*val_charging_loss</f>
        <v>121.98432960000001</v>
      </c>
      <c r="R16" s="1">
        <f>Alice_Master_Analysis_View[[#This Row],[Revenue]]*60/75-(Alice_Master_Analysis_View[[#This Row],[Depreciation_OpEx]]+Alice_Master_Analysis_View[[#This Row],[Sortie_60_energy_OpEx]]+val_ground_ops)</f>
        <v>1422.3089736925024</v>
      </c>
      <c r="S16" s="1">
        <f>Alice_Master_Analysis_View[[#This Row],[Net_Profit_60]]/Alice_Master_Analysis_View[[#This Row],[Revenue]]*(60/75)</f>
        <v>0.30174295038907156</v>
      </c>
      <c r="T16" s="1">
        <f>(Alice_Master_Analysis_View[[#This Row],[Net_Profit_75]]-Alice_Master_Analysis_View[[#This Row],[Net_Profit_60]])/Alice_Master_Analysis_View[[#This Row],[Net_Profit_75]]</f>
        <v>0.33722664211314368</v>
      </c>
      <c r="U16" s="1">
        <f>Alice_Master_Analysis_View[[#This Row],[Net_Profit_60]]/(Alice_Master_Analysis_View[[#This Row],[Start_SoC]]-Alice_Master_Analysis_View[[#This Row],[End_SoC]])/100*850</f>
        <v>135.86521255737105</v>
      </c>
    </row>
    <row r="17" spans="1:21" x14ac:dyDescent="0.2">
      <c r="A17" s="1" t="s">
        <v>18</v>
      </c>
      <c r="B17">
        <v>99.087999999999994</v>
      </c>
      <c r="C17">
        <v>1.2598333333333334</v>
      </c>
      <c r="D17">
        <v>1.3043755555555554</v>
      </c>
      <c r="E17">
        <v>21.737466666666677</v>
      </c>
      <c r="F17">
        <v>2178.2789512764057</v>
      </c>
      <c r="G17">
        <v>19.742995365804195</v>
      </c>
      <c r="H17" s="1" t="s">
        <v>5</v>
      </c>
      <c r="I17" s="1" t="s">
        <v>133</v>
      </c>
      <c r="J17">
        <v>1</v>
      </c>
      <c r="K17">
        <f>(Alice_Master_Analysis_View[[#This Row],[Start_SoC]]-Alice_Master_Analysis_View[[#This Row],[End_SoC]])/100*val_capacity*val_elec_rate*val_charging_loss</f>
        <v>167.63834639999999</v>
      </c>
      <c r="L17" s="1">
        <f>(val_battery_cost / val_cycle) * (1 + (Alice_Master_Analysis_View[[#This Row],[Payload(lbs)]] / val_max_payload) * val_stress_factor)</f>
        <v>284.15984219644952</v>
      </c>
      <c r="M17" s="1">
        <f>(Alice_Master_Analysis_View[[#This Row],[Sortie_75_energy_OpEx]]+Alice_Master_Analysis_View[[#This Row],[Depreciation_OpEx]]+val_ground_ops)</f>
        <v>1651.7981885964496</v>
      </c>
      <c r="N17" s="1">
        <f>Alice_Master_Analysis_View[[#This Row],[Payload(lbs)]]*val_yield_rate</f>
        <v>4901.127640371913</v>
      </c>
      <c r="O17" s="1">
        <f>Alice_Master_Analysis_View[[#This Row],[Revenue]]-Alice_Master_Analysis_View[[#This Row],[Total_OpEx_75]]</f>
        <v>3249.3294517754634</v>
      </c>
      <c r="P17" s="1">
        <f>Alice_Master_Analysis_View[[#This Row],[Net_Profit_75]]/Alice_Master_Analysis_View[[#This Row],[Revenue]]</f>
        <v>0.66297588844858035</v>
      </c>
      <c r="Q17" s="1">
        <f>(Alice_Master_Analysis_View[[#This Row],[Start_SoC]]-(Alice_Master_Analysis_View[[#This Row],[Start_SoC]]-Alice_Master_Analysis_View[[#This Row],[Avg_Burn_rate_per_min]]*60))/100*val_capacity*val_elec_rate*val_charging_loss</f>
        <v>134.11067712000002</v>
      </c>
      <c r="R17" s="1">
        <f>Alice_Master_Analysis_View[[#This Row],[Revenue]]*60/75-(Alice_Master_Analysis_View[[#This Row],[Depreciation_OpEx]]+Alice_Master_Analysis_View[[#This Row],[Sortie_60_energy_OpEx]]+val_ground_ops)</f>
        <v>2302.6315929810808</v>
      </c>
      <c r="S17" s="1">
        <f>Alice_Master_Analysis_View[[#This Row],[Net_Profit_60]]/Alice_Master_Analysis_View[[#This Row],[Revenue]]*(60/75)</f>
        <v>0.37585335652369989</v>
      </c>
      <c r="T17" s="1">
        <f>(Alice_Master_Analysis_View[[#This Row],[Net_Profit_75]]-Alice_Master_Analysis_View[[#This Row],[Net_Profit_60]])/Alice_Master_Analysis_View[[#This Row],[Net_Profit_75]]</f>
        <v>0.29135176129250245</v>
      </c>
      <c r="U17" s="1">
        <f>Alice_Master_Analysis_View[[#This Row],[Net_Profit_60]]/(Alice_Master_Analysis_View[[#This Row],[Start_SoC]]-Alice_Master_Analysis_View[[#This Row],[End_SoC]])/100*850</f>
        <v>200.06884731908349</v>
      </c>
    </row>
    <row r="18" spans="1:21" x14ac:dyDescent="0.2">
      <c r="A18" s="1" t="s">
        <v>19</v>
      </c>
      <c r="B18">
        <v>99.167333333333332</v>
      </c>
      <c r="C18">
        <v>12.788166666666665</v>
      </c>
      <c r="D18">
        <v>1.1517222222222221</v>
      </c>
      <c r="E18">
        <v>30.896666666666675</v>
      </c>
      <c r="F18">
        <v>1138.5452454136066</v>
      </c>
      <c r="G18">
        <v>24.735304622695747</v>
      </c>
      <c r="H18" s="1" t="s">
        <v>2</v>
      </c>
      <c r="I18" s="1" t="s">
        <v>133</v>
      </c>
      <c r="J18">
        <v>1</v>
      </c>
      <c r="K18">
        <f>(Alice_Master_Analysis_View[[#This Row],[Start_SoC]]-Alice_Master_Analysis_View[[#This Row],[End_SoC]])/100*val_capacity*val_elec_rate*val_charging_loss</f>
        <v>148.01934</v>
      </c>
      <c r="L18" s="1">
        <f>(val_battery_cost / val_cycle) * (1 + (Alice_Master_Analysis_View[[#This Row],[Payload(lbs)]] / val_max_payload) * val_stress_factor)</f>
        <v>259.89938905965084</v>
      </c>
      <c r="M18" s="1">
        <f>(Alice_Master_Analysis_View[[#This Row],[Sortie_75_energy_OpEx]]+Alice_Master_Analysis_View[[#This Row],[Depreciation_OpEx]]+val_ground_ops)</f>
        <v>1607.9187290596508</v>
      </c>
      <c r="N18" s="1">
        <f>Alice_Master_Analysis_View[[#This Row],[Payload(lbs)]]*val_yield_rate</f>
        <v>2561.7268021806149</v>
      </c>
      <c r="O18" s="1">
        <f>Alice_Master_Analysis_View[[#This Row],[Revenue]]-Alice_Master_Analysis_View[[#This Row],[Total_OpEx_75]]</f>
        <v>953.80807312096408</v>
      </c>
      <c r="P18" s="1">
        <f>Alice_Master_Analysis_View[[#This Row],[Net_Profit_75]]/Alice_Master_Analysis_View[[#This Row],[Revenue]]</f>
        <v>0.37233012993776521</v>
      </c>
      <c r="Q18" s="1">
        <f>(Alice_Master_Analysis_View[[#This Row],[Start_SoC]]-(Alice_Master_Analysis_View[[#This Row],[Start_SoC]]-Alice_Master_Analysis_View[[#This Row],[Avg_Burn_rate_per_min]]*60))/100*val_capacity*val_elec_rate*val_charging_loss</f>
        <v>118.41547200000001</v>
      </c>
      <c r="R18" s="1">
        <f>Alice_Master_Analysis_View[[#This Row],[Revenue]]*60/75-(Alice_Master_Analysis_View[[#This Row],[Depreciation_OpEx]]+Alice_Master_Analysis_View[[#This Row],[Sortie_60_energy_OpEx]]+val_ground_ops)</f>
        <v>471.06658068484103</v>
      </c>
      <c r="S18" s="1">
        <f>Alice_Master_Analysis_View[[#This Row],[Net_Profit_60]]/Alice_Master_Analysis_View[[#This Row],[Revenue]]*(60/75)</f>
        <v>0.14710907666933279</v>
      </c>
      <c r="T18" s="1">
        <f>(Alice_Master_Analysis_View[[#This Row],[Net_Profit_75]]-Alice_Master_Analysis_View[[#This Row],[Net_Profit_60]])/Alice_Master_Analysis_View[[#This Row],[Net_Profit_75]]</f>
        <v>0.50612015775515529</v>
      </c>
      <c r="U18" s="1">
        <f>Alice_Master_Analysis_View[[#This Row],[Net_Profit_60]]/(Alice_Master_Analysis_View[[#This Row],[Start_SoC]]-Alice_Master_Analysis_View[[#This Row],[End_SoC]])/100*850</f>
        <v>46.354533046986433</v>
      </c>
    </row>
    <row r="19" spans="1:21" x14ac:dyDescent="0.2">
      <c r="A19" s="1" t="s">
        <v>20</v>
      </c>
      <c r="B19">
        <v>99.127499999999998</v>
      </c>
      <c r="C19">
        <v>10.427166666666666</v>
      </c>
      <c r="D19">
        <v>1.182671111111111</v>
      </c>
      <c r="E19">
        <v>29.039733333333345</v>
      </c>
      <c r="F19">
        <v>731.53228209475117</v>
      </c>
      <c r="G19">
        <v>3.522445636344206</v>
      </c>
      <c r="H19" s="1" t="s">
        <v>2</v>
      </c>
      <c r="I19" s="1" t="s">
        <v>133</v>
      </c>
      <c r="J19">
        <v>1</v>
      </c>
      <c r="K19">
        <f>(Alice_Master_Analysis_View[[#This Row],[Start_SoC]]-Alice_Master_Analysis_View[[#This Row],[End_SoC]])/100*val_capacity*val_elec_rate*val_charging_loss</f>
        <v>151.99689120000002</v>
      </c>
      <c r="L19" s="1">
        <f>(val_battery_cost / val_cycle) * (1 + (Alice_Master_Analysis_View[[#This Row],[Payload(lbs)]] / val_max_payload) * val_stress_factor)</f>
        <v>250.40241991554421</v>
      </c>
      <c r="M19" s="1">
        <f>(Alice_Master_Analysis_View[[#This Row],[Sortie_75_energy_OpEx]]+Alice_Master_Analysis_View[[#This Row],[Depreciation_OpEx]]+val_ground_ops)</f>
        <v>1602.3993111155442</v>
      </c>
      <c r="N19" s="1">
        <f>Alice_Master_Analysis_View[[#This Row],[Payload(lbs)]]*val_yield_rate</f>
        <v>1645.9476347131902</v>
      </c>
      <c r="O19" s="1">
        <f>Alice_Master_Analysis_View[[#This Row],[Revenue]]-Alice_Master_Analysis_View[[#This Row],[Total_OpEx_75]]</f>
        <v>43.548323597646004</v>
      </c>
      <c r="P19" s="1">
        <f>Alice_Master_Analysis_View[[#This Row],[Net_Profit_75]]/Alice_Master_Analysis_View[[#This Row],[Revenue]]</f>
        <v>2.6457903446748712E-2</v>
      </c>
      <c r="Q19" s="1">
        <f>(Alice_Master_Analysis_View[[#This Row],[Start_SoC]]-(Alice_Master_Analysis_View[[#This Row],[Start_SoC]]-Alice_Master_Analysis_View[[#This Row],[Avg_Burn_rate_per_min]]*60))/100*val_capacity*val_elec_rate*val_charging_loss</f>
        <v>121.59751296</v>
      </c>
      <c r="R19" s="1">
        <f>Alice_Master_Analysis_View[[#This Row],[Revenue]]*60/75-(Alice_Master_Analysis_View[[#This Row],[Depreciation_OpEx]]+Alice_Master_Analysis_View[[#This Row],[Sortie_60_energy_OpEx]]+val_ground_ops)</f>
        <v>-255.24182510499213</v>
      </c>
      <c r="S19" s="1">
        <f>Alice_Master_Analysis_View[[#This Row],[Net_Profit_60]]/Alice_Master_Analysis_View[[#This Row],[Revenue]]*(60/75)</f>
        <v>-0.12405829673893293</v>
      </c>
      <c r="T19" s="1">
        <f>(Alice_Master_Analysis_View[[#This Row],[Net_Profit_75]]-Alice_Master_Analysis_View[[#This Row],[Net_Profit_60]])/Alice_Master_Analysis_View[[#This Row],[Net_Profit_75]]</f>
        <v>6.8611171227447469</v>
      </c>
      <c r="U19" s="1">
        <f>Alice_Master_Analysis_View[[#This Row],[Net_Profit_60]]/(Alice_Master_Analysis_View[[#This Row],[Start_SoC]]-Alice_Master_Analysis_View[[#This Row],[End_SoC]])/100*850</f>
        <v>-24.459383993962067</v>
      </c>
    </row>
    <row r="20" spans="1:21" x14ac:dyDescent="0.2">
      <c r="A20" s="1" t="s">
        <v>21</v>
      </c>
      <c r="B20">
        <v>99.092166666666657</v>
      </c>
      <c r="C20">
        <v>1.887</v>
      </c>
      <c r="D20">
        <v>1.2960688888888887</v>
      </c>
      <c r="E20">
        <v>22.235866666666681</v>
      </c>
      <c r="F20">
        <v>2313.8561376333432</v>
      </c>
      <c r="G20">
        <v>23.85749221573915</v>
      </c>
      <c r="H20" s="1" t="s">
        <v>2</v>
      </c>
      <c r="I20" s="1" t="s">
        <v>133</v>
      </c>
      <c r="J20">
        <v>1</v>
      </c>
      <c r="K20">
        <f>(Alice_Master_Analysis_View[[#This Row],[Start_SoC]]-Alice_Master_Analysis_View[[#This Row],[End_SoC]])/100*val_capacity*val_elec_rate*val_charging_loss</f>
        <v>166.5707736</v>
      </c>
      <c r="L20" s="1">
        <f>(val_battery_cost / val_cycle) * (1 + (Alice_Master_Analysis_View[[#This Row],[Payload(lbs)]] / val_max_payload) * val_stress_factor)</f>
        <v>287.32330987811133</v>
      </c>
      <c r="M20" s="1">
        <f>(Alice_Master_Analysis_View[[#This Row],[Sortie_75_energy_OpEx]]+Alice_Master_Analysis_View[[#This Row],[Depreciation_OpEx]]+val_ground_ops)</f>
        <v>1653.8940834781113</v>
      </c>
      <c r="N20" s="1">
        <f>Alice_Master_Analysis_View[[#This Row],[Payload(lbs)]]*val_yield_rate</f>
        <v>5206.1763096750219</v>
      </c>
      <c r="O20" s="1">
        <f>Alice_Master_Analysis_View[[#This Row],[Revenue]]-Alice_Master_Analysis_View[[#This Row],[Total_OpEx_75]]</f>
        <v>3552.2822261969104</v>
      </c>
      <c r="P20" s="1">
        <f>Alice_Master_Analysis_View[[#This Row],[Net_Profit_75]]/Alice_Master_Analysis_View[[#This Row],[Revenue]]</f>
        <v>0.68232076958197552</v>
      </c>
      <c r="Q20" s="1">
        <f>(Alice_Master_Analysis_View[[#This Row],[Start_SoC]]-(Alice_Master_Analysis_View[[#This Row],[Start_SoC]]-Alice_Master_Analysis_View[[#This Row],[Avg_Burn_rate_per_min]]*60))/100*val_capacity*val_elec_rate*val_charging_loss</f>
        <v>133.25661887999999</v>
      </c>
      <c r="R20" s="1">
        <f>Alice_Master_Analysis_View[[#This Row],[Revenue]]*60/75-(Alice_Master_Analysis_View[[#This Row],[Depreciation_OpEx]]+Alice_Master_Analysis_View[[#This Row],[Sortie_60_energy_OpEx]]+val_ground_ops)</f>
        <v>2544.3611189819067</v>
      </c>
      <c r="S20" s="1">
        <f>Alice_Master_Analysis_View[[#This Row],[Net_Profit_60]]/Alice_Master_Analysis_View[[#This Row],[Revenue]]*(60/75)</f>
        <v>0.39097578992913207</v>
      </c>
      <c r="T20" s="1">
        <f>(Alice_Master_Analysis_View[[#This Row],[Net_Profit_75]]-Alice_Master_Analysis_View[[#This Row],[Net_Profit_60]])/Alice_Master_Analysis_View[[#This Row],[Net_Profit_75]]</f>
        <v>0.2837390283299896</v>
      </c>
      <c r="U20" s="1">
        <f>Alice_Master_Analysis_View[[#This Row],[Net_Profit_60]]/(Alice_Master_Analysis_View[[#This Row],[Start_SoC]]-Alice_Master_Analysis_View[[#This Row],[End_SoC]])/100*850</f>
        <v>222.48888873889979</v>
      </c>
    </row>
    <row r="21" spans="1:21" x14ac:dyDescent="0.2">
      <c r="A21" s="1" t="s">
        <v>22</v>
      </c>
      <c r="B21">
        <v>99.078000000000003</v>
      </c>
      <c r="C21">
        <v>0</v>
      </c>
      <c r="D21">
        <v>1.32104</v>
      </c>
      <c r="E21">
        <v>20.7376</v>
      </c>
      <c r="F21">
        <v>1566.7153945277312</v>
      </c>
      <c r="G21">
        <v>3.8209206932568502</v>
      </c>
      <c r="H21" s="1" t="s">
        <v>5</v>
      </c>
      <c r="I21" s="1" t="s">
        <v>133</v>
      </c>
      <c r="J21">
        <v>1</v>
      </c>
      <c r="K21">
        <f>(Alice_Master_Analysis_View[[#This Row],[Start_SoC]]-Alice_Master_Analysis_View[[#This Row],[End_SoC]])/100*val_capacity*val_elec_rate*val_charging_loss</f>
        <v>169.7800608</v>
      </c>
      <c r="L21" s="1">
        <f>(val_battery_cost / val_cycle) * (1 + (Alice_Master_Analysis_View[[#This Row],[Payload(lbs)]] / val_max_payload) * val_stress_factor)</f>
        <v>269.89002587231374</v>
      </c>
      <c r="M21" s="1">
        <f>(Alice_Master_Analysis_View[[#This Row],[Sortie_75_energy_OpEx]]+Alice_Master_Analysis_View[[#This Row],[Depreciation_OpEx]]+val_ground_ops)</f>
        <v>1639.6700866723138</v>
      </c>
      <c r="N21" s="1">
        <f>Alice_Master_Analysis_View[[#This Row],[Payload(lbs)]]*val_yield_rate</f>
        <v>3525.1096376873952</v>
      </c>
      <c r="O21" s="1">
        <f>Alice_Master_Analysis_View[[#This Row],[Revenue]]-Alice_Master_Analysis_View[[#This Row],[Total_OpEx_75]]</f>
        <v>1885.4395510150814</v>
      </c>
      <c r="P21" s="1">
        <f>Alice_Master_Analysis_View[[#This Row],[Net_Profit_75]]/Alice_Master_Analysis_View[[#This Row],[Revenue]]</f>
        <v>0.53485983268650927</v>
      </c>
      <c r="Q21" s="1">
        <f>(Alice_Master_Analysis_View[[#This Row],[Start_SoC]]-(Alice_Master_Analysis_View[[#This Row],[Start_SoC]]-Alice_Master_Analysis_View[[#This Row],[Avg_Burn_rate_per_min]]*60))/100*val_capacity*val_elec_rate*val_charging_loss</f>
        <v>135.82404864000003</v>
      </c>
      <c r="R21" s="1">
        <f>Alice_Master_Analysis_View[[#This Row],[Revenue]]*60/75-(Alice_Master_Analysis_View[[#This Row],[Depreciation_OpEx]]+Alice_Master_Analysis_View[[#This Row],[Sortie_60_energy_OpEx]]+val_ground_ops)</f>
        <v>1214.3736356376021</v>
      </c>
      <c r="S21" s="1">
        <f>Alice_Master_Analysis_View[[#This Row],[Net_Profit_60]]/Alice_Master_Analysis_View[[#This Row],[Revenue]]*(60/75)</f>
        <v>0.27559395546840965</v>
      </c>
      <c r="T21" s="1">
        <f>(Alice_Master_Analysis_View[[#This Row],[Net_Profit_75]]-Alice_Master_Analysis_View[[#This Row],[Net_Profit_60]])/Alice_Master_Analysis_View[[#This Row],[Net_Profit_75]]</f>
        <v>0.35592014340432787</v>
      </c>
      <c r="U21" s="1">
        <f>Alice_Master_Analysis_View[[#This Row],[Net_Profit_60]]/(Alice_Master_Analysis_View[[#This Row],[Start_SoC]]-Alice_Master_Analysis_View[[#This Row],[End_SoC]])/100*850</f>
        <v>104.18232001977853</v>
      </c>
    </row>
    <row r="22" spans="1:21" x14ac:dyDescent="0.2">
      <c r="A22" s="1" t="s">
        <v>23</v>
      </c>
      <c r="B22">
        <v>99.05749999999999</v>
      </c>
      <c r="C22">
        <v>0</v>
      </c>
      <c r="D22">
        <v>1.3207666666666666</v>
      </c>
      <c r="E22">
        <v>20.754000000000005</v>
      </c>
      <c r="F22">
        <v>1877.057989619386</v>
      </c>
      <c r="G22">
        <v>3.397101896474668</v>
      </c>
      <c r="H22" s="1" t="s">
        <v>5</v>
      </c>
      <c r="I22" s="1" t="s">
        <v>133</v>
      </c>
      <c r="J22">
        <v>1</v>
      </c>
      <c r="K22">
        <f>(Alice_Master_Analysis_View[[#This Row],[Start_SoC]]-Alice_Master_Analysis_View[[#This Row],[End_SoC]])/100*val_capacity*val_elec_rate*val_charging_loss</f>
        <v>169.74493199999998</v>
      </c>
      <c r="L22" s="1">
        <f>(val_battery_cost / val_cycle) * (1 + (Alice_Master_Analysis_View[[#This Row],[Payload(lbs)]] / val_max_payload) * val_stress_factor)</f>
        <v>277.13135309111902</v>
      </c>
      <c r="M22" s="1">
        <f>(Alice_Master_Analysis_View[[#This Row],[Sortie_75_energy_OpEx]]+Alice_Master_Analysis_View[[#This Row],[Depreciation_OpEx]]+val_ground_ops)</f>
        <v>1646.8762850911189</v>
      </c>
      <c r="N22" s="1">
        <f>Alice_Master_Analysis_View[[#This Row],[Payload(lbs)]]*val_yield_rate</f>
        <v>4223.3804766436187</v>
      </c>
      <c r="O22" s="1">
        <f>Alice_Master_Analysis_View[[#This Row],[Revenue]]-Alice_Master_Analysis_View[[#This Row],[Total_OpEx_75]]</f>
        <v>2576.5041915524998</v>
      </c>
      <c r="P22" s="1">
        <f>Alice_Master_Analysis_View[[#This Row],[Net_Profit_75]]/Alice_Master_Analysis_View[[#This Row],[Revenue]]</f>
        <v>0.61005732393783396</v>
      </c>
      <c r="Q22" s="1">
        <f>(Alice_Master_Analysis_View[[#This Row],[Start_SoC]]-(Alice_Master_Analysis_View[[#This Row],[Start_SoC]]-Alice_Master_Analysis_View[[#This Row],[Avg_Burn_rate_per_min]]*60))/100*val_capacity*val_elec_rate*val_charging_loss</f>
        <v>135.79594559999998</v>
      </c>
      <c r="R22" s="1">
        <f>Alice_Master_Analysis_View[[#This Row],[Revenue]]*60/75-(Alice_Master_Analysis_View[[#This Row],[Depreciation_OpEx]]+Alice_Master_Analysis_View[[#This Row],[Sortie_60_energy_OpEx]]+val_ground_ops)</f>
        <v>1765.7770826237759</v>
      </c>
      <c r="S22" s="1">
        <f>Alice_Master_Analysis_View[[#This Row],[Net_Profit_60]]/Alice_Master_Analysis_View[[#This Row],[Revenue]]*(60/75)</f>
        <v>0.33447653459383597</v>
      </c>
      <c r="T22" s="1">
        <f>(Alice_Master_Analysis_View[[#This Row],[Net_Profit_75]]-Alice_Master_Analysis_View[[#This Row],[Net_Profit_60]])/Alice_Master_Analysis_View[[#This Row],[Net_Profit_75]]</f>
        <v>0.31466166893375469</v>
      </c>
      <c r="U22" s="1">
        <f>Alice_Master_Analysis_View[[#This Row],[Net_Profit_60]]/(Alice_Master_Analysis_View[[#This Row],[Start_SoC]]-Alice_Master_Analysis_View[[#This Row],[End_SoC]])/100*850</f>
        <v>151.51911972644271</v>
      </c>
    </row>
    <row r="23" spans="1:21" x14ac:dyDescent="0.2">
      <c r="A23" s="1" t="s">
        <v>24</v>
      </c>
      <c r="B23">
        <v>99.102166666666662</v>
      </c>
      <c r="C23">
        <v>10.732833333333334</v>
      </c>
      <c r="D23">
        <v>1.1782577777777776</v>
      </c>
      <c r="E23">
        <v>29.304533333333339</v>
      </c>
      <c r="F23">
        <v>2188.3387041018327</v>
      </c>
      <c r="G23">
        <v>24.448924649092916</v>
      </c>
      <c r="H23" s="1" t="s">
        <v>2</v>
      </c>
      <c r="I23" s="1" t="s">
        <v>133</v>
      </c>
      <c r="J23">
        <v>1</v>
      </c>
      <c r="K23">
        <f>(Alice_Master_Analysis_View[[#This Row],[Start_SoC]]-Alice_Master_Analysis_View[[#This Row],[End_SoC]])/100*val_capacity*val_elec_rate*val_charging_loss</f>
        <v>151.42968959999999</v>
      </c>
      <c r="L23" s="1">
        <f>(val_battery_cost / val_cycle) * (1 + (Alice_Master_Analysis_View[[#This Row],[Payload(lbs)]] / val_max_payload) * val_stress_factor)</f>
        <v>284.39456976237614</v>
      </c>
      <c r="M23" s="1">
        <f>(Alice_Master_Analysis_View[[#This Row],[Sortie_75_energy_OpEx]]+Alice_Master_Analysis_View[[#This Row],[Depreciation_OpEx]]+val_ground_ops)</f>
        <v>1635.8242593623761</v>
      </c>
      <c r="N23" s="1">
        <f>Alice_Master_Analysis_View[[#This Row],[Payload(lbs)]]*val_yield_rate</f>
        <v>4923.7620842291235</v>
      </c>
      <c r="O23" s="1">
        <f>Alice_Master_Analysis_View[[#This Row],[Revenue]]-Alice_Master_Analysis_View[[#This Row],[Total_OpEx_75]]</f>
        <v>3287.9378248667472</v>
      </c>
      <c r="P23" s="1">
        <f>Alice_Master_Analysis_View[[#This Row],[Net_Profit_75]]/Alice_Master_Analysis_View[[#This Row],[Revenue]]</f>
        <v>0.66776943496072982</v>
      </c>
      <c r="Q23" s="1">
        <f>(Alice_Master_Analysis_View[[#This Row],[Start_SoC]]-(Alice_Master_Analysis_View[[#This Row],[Start_SoC]]-Alice_Master_Analysis_View[[#This Row],[Avg_Burn_rate_per_min]]*60))/100*val_capacity*val_elec_rate*val_charging_loss</f>
        <v>121.14375168000001</v>
      </c>
      <c r="R23" s="1">
        <f>Alice_Master_Analysis_View[[#This Row],[Revenue]]*60/75-(Alice_Master_Analysis_View[[#This Row],[Depreciation_OpEx]]+Alice_Master_Analysis_View[[#This Row],[Sortie_60_energy_OpEx]]+val_ground_ops)</f>
        <v>2333.4713459409231</v>
      </c>
      <c r="S23" s="1">
        <f>Alice_Master_Analysis_View[[#This Row],[Net_Profit_60]]/Alice_Master_Analysis_View[[#This Row],[Revenue]]*(60/75)</f>
        <v>0.37913632803909247</v>
      </c>
      <c r="T23" s="1">
        <f>(Alice_Master_Analysis_View[[#This Row],[Net_Profit_75]]-Alice_Master_Analysis_View[[#This Row],[Net_Profit_60]])/Alice_Master_Analysis_View[[#This Row],[Net_Profit_75]]</f>
        <v>0.29029334791770478</v>
      </c>
      <c r="U23" s="1">
        <f>Alice_Master_Analysis_View[[#This Row],[Net_Profit_60]]/(Alice_Master_Analysis_View[[#This Row],[Start_SoC]]-Alice_Master_Analysis_View[[#This Row],[End_SoC]])/100*850</f>
        <v>224.45010833884132</v>
      </c>
    </row>
    <row r="24" spans="1:21" x14ac:dyDescent="0.2">
      <c r="A24" s="1" t="s">
        <v>25</v>
      </c>
      <c r="B24">
        <v>99.090999999999994</v>
      </c>
      <c r="C24">
        <v>1.6556666666666666</v>
      </c>
      <c r="D24">
        <v>1.2991377777777777</v>
      </c>
      <c r="E24">
        <v>22.051733333333331</v>
      </c>
      <c r="F24">
        <v>1738.6365792152469</v>
      </c>
      <c r="G24">
        <v>11.835638905223821</v>
      </c>
      <c r="H24" s="1" t="s">
        <v>5</v>
      </c>
      <c r="I24" s="1" t="s">
        <v>133</v>
      </c>
      <c r="J24">
        <v>1</v>
      </c>
      <c r="K24">
        <f>(Alice_Master_Analysis_View[[#This Row],[Start_SoC]]-Alice_Master_Analysis_View[[#This Row],[End_SoC]])/100*val_capacity*val_elec_rate*val_charging_loss</f>
        <v>166.9651872</v>
      </c>
      <c r="L24" s="1">
        <f>(val_battery_cost / val_cycle) * (1 + (Alice_Master_Analysis_View[[#This Row],[Payload(lbs)]] / val_max_payload) * val_stress_factor)</f>
        <v>273.90152018168908</v>
      </c>
      <c r="M24" s="1">
        <f>(Alice_Master_Analysis_View[[#This Row],[Sortie_75_energy_OpEx]]+Alice_Master_Analysis_View[[#This Row],[Depreciation_OpEx]]+val_ground_ops)</f>
        <v>1640.8667073816891</v>
      </c>
      <c r="N24" s="1">
        <f>Alice_Master_Analysis_View[[#This Row],[Payload(lbs)]]*val_yield_rate</f>
        <v>3911.9323032343054</v>
      </c>
      <c r="O24" s="1">
        <f>Alice_Master_Analysis_View[[#This Row],[Revenue]]-Alice_Master_Analysis_View[[#This Row],[Total_OpEx_75]]</f>
        <v>2271.0655958526163</v>
      </c>
      <c r="P24" s="1">
        <f>Alice_Master_Analysis_View[[#This Row],[Net_Profit_75]]/Alice_Master_Analysis_View[[#This Row],[Revenue]]</f>
        <v>0.58054828657820734</v>
      </c>
      <c r="Q24" s="1">
        <f>(Alice_Master_Analysis_View[[#This Row],[Start_SoC]]-(Alice_Master_Analysis_View[[#This Row],[Start_SoC]]-Alice_Master_Analysis_View[[#This Row],[Avg_Burn_rate_per_min]]*60))/100*val_capacity*val_elec_rate*val_charging_loss</f>
        <v>133.57214976</v>
      </c>
      <c r="R24" s="1">
        <f>Alice_Master_Analysis_View[[#This Row],[Revenue]]*60/75-(Alice_Master_Analysis_View[[#This Row],[Depreciation_OpEx]]+Alice_Master_Analysis_View[[#This Row],[Sortie_60_energy_OpEx]]+val_ground_ops)</f>
        <v>1522.072172645755</v>
      </c>
      <c r="S24" s="1">
        <f>Alice_Master_Analysis_View[[#This Row],[Net_Profit_60]]/Alice_Master_Analysis_View[[#This Row],[Revenue]]*(60/75)</f>
        <v>0.31126758944930355</v>
      </c>
      <c r="T24" s="1">
        <f>(Alice_Master_Analysis_View[[#This Row],[Net_Profit_75]]-Alice_Master_Analysis_View[[#This Row],[Net_Profit_60]])/Alice_Master_Analysis_View[[#This Row],[Net_Profit_75]]</f>
        <v>0.32979823417459236</v>
      </c>
      <c r="U24" s="1">
        <f>Alice_Master_Analysis_View[[#This Row],[Net_Profit_60]]/(Alice_Master_Analysis_View[[#This Row],[Start_SoC]]-Alice_Master_Analysis_View[[#This Row],[End_SoC]])/100*850</f>
        <v>132.78153853313566</v>
      </c>
    </row>
    <row r="25" spans="1:21" x14ac:dyDescent="0.2">
      <c r="A25" s="1" t="s">
        <v>26</v>
      </c>
      <c r="B25">
        <v>99.159000000000006</v>
      </c>
      <c r="C25">
        <v>11.597666666666667</v>
      </c>
      <c r="D25">
        <v>1.1674844444444445</v>
      </c>
      <c r="E25">
        <v>29.950933333333325</v>
      </c>
      <c r="F25">
        <v>1252.2045918659501</v>
      </c>
      <c r="G25">
        <v>25.654884230270916</v>
      </c>
      <c r="H25" s="1" t="s">
        <v>2</v>
      </c>
      <c r="I25" s="1" t="s">
        <v>133</v>
      </c>
      <c r="J25">
        <v>1</v>
      </c>
      <c r="K25">
        <f>(Alice_Master_Analysis_View[[#This Row],[Start_SoC]]-Alice_Master_Analysis_View[[#This Row],[End_SoC]])/100*val_capacity*val_elec_rate*val_charging_loss</f>
        <v>150.04510080000003</v>
      </c>
      <c r="L25" s="1">
        <f>(val_battery_cost / val_cycle) * (1 + (Alice_Master_Analysis_View[[#This Row],[Payload(lbs)]] / val_max_payload) * val_stress_factor)</f>
        <v>262.55144047687219</v>
      </c>
      <c r="M25" s="1">
        <f>(Alice_Master_Analysis_View[[#This Row],[Sortie_75_energy_OpEx]]+Alice_Master_Analysis_View[[#This Row],[Depreciation_OpEx]]+val_ground_ops)</f>
        <v>1612.5965412768724</v>
      </c>
      <c r="N25" s="1">
        <f>Alice_Master_Analysis_View[[#This Row],[Payload(lbs)]]*val_yield_rate</f>
        <v>2817.4603316983876</v>
      </c>
      <c r="O25" s="1">
        <f>Alice_Master_Analysis_View[[#This Row],[Revenue]]-Alice_Master_Analysis_View[[#This Row],[Total_OpEx_75]]</f>
        <v>1204.8637904215152</v>
      </c>
      <c r="P25" s="1">
        <f>Alice_Master_Analysis_View[[#This Row],[Net_Profit_75]]/Alice_Master_Analysis_View[[#This Row],[Revenue]]</f>
        <v>0.42764179387583912</v>
      </c>
      <c r="Q25" s="1">
        <f>(Alice_Master_Analysis_View[[#This Row],[Start_SoC]]-(Alice_Master_Analysis_View[[#This Row],[Start_SoC]]-Alice_Master_Analysis_View[[#This Row],[Avg_Burn_rate_per_min]]*60))/100*val_capacity*val_elec_rate*val_charging_loss</f>
        <v>120.03608064000002</v>
      </c>
      <c r="R25" s="1">
        <f>Alice_Master_Analysis_View[[#This Row],[Revenue]]*60/75-(Alice_Master_Analysis_View[[#This Row],[Depreciation_OpEx]]+Alice_Master_Analysis_View[[#This Row],[Sortie_60_energy_OpEx]]+val_ground_ops)</f>
        <v>671.38074424183787</v>
      </c>
      <c r="S25" s="1">
        <f>Alice_Master_Analysis_View[[#This Row],[Net_Profit_60]]/Alice_Master_Analysis_View[[#This Row],[Revenue]]*(60/75)</f>
        <v>0.19063430613402796</v>
      </c>
      <c r="T25" s="1">
        <f>(Alice_Master_Analysis_View[[#This Row],[Net_Profit_75]]-Alice_Master_Analysis_View[[#This Row],[Net_Profit_60]])/Alice_Master_Analysis_View[[#This Row],[Net_Profit_75]]</f>
        <v>0.44277456955780964</v>
      </c>
      <c r="U25" s="1">
        <f>Alice_Master_Analysis_View[[#This Row],[Net_Profit_60]]/(Alice_Master_Analysis_View[[#This Row],[Start_SoC]]-Alice_Master_Analysis_View[[#This Row],[End_SoC]])/100*850</f>
        <v>65.174159743900901</v>
      </c>
    </row>
    <row r="26" spans="1:21" x14ac:dyDescent="0.2">
      <c r="A26" s="1" t="s">
        <v>27</v>
      </c>
      <c r="B26">
        <v>99.129333333333335</v>
      </c>
      <c r="C26">
        <v>10.019666666666666</v>
      </c>
      <c r="D26">
        <v>1.188128888888889</v>
      </c>
      <c r="E26">
        <v>28.712266666666665</v>
      </c>
      <c r="F26">
        <v>1018.4421534435731</v>
      </c>
      <c r="G26">
        <v>40.055788116136831</v>
      </c>
      <c r="H26" s="1" t="s">
        <v>5</v>
      </c>
      <c r="I26" s="1" t="s">
        <v>133</v>
      </c>
      <c r="J26">
        <v>1</v>
      </c>
      <c r="K26">
        <f>(Alice_Master_Analysis_View[[#This Row],[Start_SoC]]-Alice_Master_Analysis_View[[#This Row],[End_SoC]])/100*val_capacity*val_elec_rate*val_charging_loss</f>
        <v>152.69832479999999</v>
      </c>
      <c r="L26" s="1">
        <f>(val_battery_cost / val_cycle) * (1 + (Alice_Master_Analysis_View[[#This Row],[Payload(lbs)]] / val_max_payload) * val_stress_factor)</f>
        <v>257.09698358035007</v>
      </c>
      <c r="M26" s="1">
        <f>(Alice_Master_Analysis_View[[#This Row],[Sortie_75_energy_OpEx]]+Alice_Master_Analysis_View[[#This Row],[Depreciation_OpEx]]+val_ground_ops)</f>
        <v>1609.79530838035</v>
      </c>
      <c r="N26" s="1">
        <f>Alice_Master_Analysis_View[[#This Row],[Payload(lbs)]]*val_yield_rate</f>
        <v>2291.4948452480394</v>
      </c>
      <c r="O26" s="1">
        <f>Alice_Master_Analysis_View[[#This Row],[Revenue]]-Alice_Master_Analysis_View[[#This Row],[Total_OpEx_75]]</f>
        <v>681.6995368676894</v>
      </c>
      <c r="P26" s="1">
        <f>Alice_Master_Analysis_View[[#This Row],[Net_Profit_75]]/Alice_Master_Analysis_View[[#This Row],[Revenue]]</f>
        <v>0.29749119369888866</v>
      </c>
      <c r="Q26" s="1">
        <f>(Alice_Master_Analysis_View[[#This Row],[Start_SoC]]-(Alice_Master_Analysis_View[[#This Row],[Start_SoC]]-Alice_Master_Analysis_View[[#This Row],[Avg_Burn_rate_per_min]]*60))/100*val_capacity*val_elec_rate*val_charging_loss</f>
        <v>122.15865984000001</v>
      </c>
      <c r="R26" s="1">
        <f>Alice_Master_Analysis_View[[#This Row],[Revenue]]*60/75-(Alice_Master_Analysis_View[[#This Row],[Depreciation_OpEx]]+Alice_Master_Analysis_View[[#This Row],[Sortie_60_energy_OpEx]]+val_ground_ops)</f>
        <v>253.94023277808128</v>
      </c>
      <c r="S26" s="1">
        <f>Alice_Master_Analysis_View[[#This Row],[Net_Profit_60]]/Alice_Master_Analysis_View[[#This Row],[Revenue]]*(60/75)</f>
        <v>8.8654873757953029E-2</v>
      </c>
      <c r="T26" s="1">
        <f>(Alice_Master_Analysis_View[[#This Row],[Net_Profit_75]]-Alice_Master_Analysis_View[[#This Row],[Net_Profit_60]])/Alice_Master_Analysis_View[[#This Row],[Net_Profit_75]]</f>
        <v>0.62748950374104717</v>
      </c>
      <c r="U26" s="1">
        <f>Alice_Master_Analysis_View[[#This Row],[Net_Profit_60]]/(Alice_Master_Analysis_View[[#This Row],[Start_SoC]]-Alice_Master_Analysis_View[[#This Row],[End_SoC]])/100*850</f>
        <v>24.222871203053437</v>
      </c>
    </row>
    <row r="27" spans="1:21" x14ac:dyDescent="0.2">
      <c r="A27" s="1" t="s">
        <v>28</v>
      </c>
      <c r="B27">
        <v>99.099833333333336</v>
      </c>
      <c r="C27">
        <v>10.411</v>
      </c>
      <c r="D27">
        <v>1.1825177777777778</v>
      </c>
      <c r="E27">
        <v>29.048933333333338</v>
      </c>
      <c r="F27">
        <v>844.07755819346005</v>
      </c>
      <c r="G27">
        <v>-3.2672404754898645</v>
      </c>
      <c r="H27" s="1" t="s">
        <v>5</v>
      </c>
      <c r="I27" s="1" t="s">
        <v>133</v>
      </c>
      <c r="J27">
        <v>1</v>
      </c>
      <c r="K27">
        <f>(Alice_Master_Analysis_View[[#This Row],[Start_SoC]]-Alice_Master_Analysis_View[[#This Row],[End_SoC]])/100*val_capacity*val_elec_rate*val_charging_loss</f>
        <v>151.97718480000003</v>
      </c>
      <c r="L27" s="1">
        <f>(val_battery_cost / val_cycle) * (1 + (Alice_Master_Analysis_View[[#This Row],[Payload(lbs)]] / val_max_payload) * val_stress_factor)</f>
        <v>253.02847635784738</v>
      </c>
      <c r="M27" s="1">
        <f>(Alice_Master_Analysis_View[[#This Row],[Sortie_75_energy_OpEx]]+Alice_Master_Analysis_View[[#This Row],[Depreciation_OpEx]]+val_ground_ops)</f>
        <v>1605.0056611578475</v>
      </c>
      <c r="N27" s="1">
        <f>Alice_Master_Analysis_View[[#This Row],[Payload(lbs)]]*val_yield_rate</f>
        <v>1899.1745059352852</v>
      </c>
      <c r="O27" s="1">
        <f>Alice_Master_Analysis_View[[#This Row],[Revenue]]-Alice_Master_Analysis_View[[#This Row],[Total_OpEx_75]]</f>
        <v>294.1688447774377</v>
      </c>
      <c r="P27" s="1">
        <f>Alice_Master_Analysis_View[[#This Row],[Net_Profit_75]]/Alice_Master_Analysis_View[[#This Row],[Revenue]]</f>
        <v>0.15489300422794405</v>
      </c>
      <c r="Q27" s="1">
        <f>(Alice_Master_Analysis_View[[#This Row],[Start_SoC]]-(Alice_Master_Analysis_View[[#This Row],[Start_SoC]]-Alice_Master_Analysis_View[[#This Row],[Avg_Burn_rate_per_min]]*60))/100*val_capacity*val_elec_rate*val_charging_loss</f>
        <v>121.58174784000001</v>
      </c>
      <c r="R27" s="1">
        <f>Alice_Master_Analysis_View[[#This Row],[Revenue]]*60/75-(Alice_Master_Analysis_View[[#This Row],[Depreciation_OpEx]]+Alice_Master_Analysis_View[[#This Row],[Sortie_60_energy_OpEx]]+val_ground_ops)</f>
        <v>-55.270619449619062</v>
      </c>
      <c r="S27" s="1">
        <f>Alice_Master_Analysis_View[[#This Row],[Net_Profit_60]]/Alice_Master_Analysis_View[[#This Row],[Revenue]]*(60/75)</f>
        <v>-2.3281955092336281E-2</v>
      </c>
      <c r="T27" s="1">
        <f>(Alice_Master_Analysis_View[[#This Row],[Net_Profit_75]]-Alice_Master_Analysis_View[[#This Row],[Net_Profit_60]])/Alice_Master_Analysis_View[[#This Row],[Net_Profit_75]]</f>
        <v>1.1878874001474755</v>
      </c>
      <c r="U27" s="1">
        <f>Alice_Master_Analysis_View[[#This Row],[Net_Profit_60]]/(Alice_Master_Analysis_View[[#This Row],[Start_SoC]]-Alice_Master_Analysis_View[[#This Row],[End_SoC]])/100*850</f>
        <v>-5.297174939217399</v>
      </c>
    </row>
    <row r="28" spans="1:21" x14ac:dyDescent="0.2">
      <c r="A28" s="1" t="s">
        <v>29</v>
      </c>
      <c r="B28">
        <v>99.076333333333338</v>
      </c>
      <c r="C28">
        <v>0</v>
      </c>
      <c r="D28">
        <v>1.3210177777777778</v>
      </c>
      <c r="E28">
        <v>20.738933333333335</v>
      </c>
      <c r="F28">
        <v>2295.6860890780977</v>
      </c>
      <c r="G28">
        <v>31.971272916837769</v>
      </c>
      <c r="H28" s="1" t="s">
        <v>2</v>
      </c>
      <c r="I28" s="1" t="s">
        <v>133</v>
      </c>
      <c r="J28">
        <v>1</v>
      </c>
      <c r="K28">
        <f>(Alice_Master_Analysis_View[[#This Row],[Start_SoC]]-Alice_Master_Analysis_View[[#This Row],[End_SoC]])/100*val_capacity*val_elec_rate*val_charging_loss</f>
        <v>169.77720479999999</v>
      </c>
      <c r="L28" s="1">
        <f>(val_battery_cost / val_cycle) * (1 + (Alice_Master_Analysis_View[[#This Row],[Payload(lbs)]] / val_max_payload) * val_stress_factor)</f>
        <v>286.89934207848893</v>
      </c>
      <c r="M28" s="1">
        <f>(Alice_Master_Analysis_View[[#This Row],[Sortie_75_energy_OpEx]]+Alice_Master_Analysis_View[[#This Row],[Depreciation_OpEx]]+val_ground_ops)</f>
        <v>1656.6765468784888</v>
      </c>
      <c r="N28" s="1">
        <f>Alice_Master_Analysis_View[[#This Row],[Payload(lbs)]]*val_yield_rate</f>
        <v>5165.2937004257201</v>
      </c>
      <c r="O28" s="1">
        <f>Alice_Master_Analysis_View[[#This Row],[Revenue]]-Alice_Master_Analysis_View[[#This Row],[Total_OpEx_75]]</f>
        <v>3508.6171535472313</v>
      </c>
      <c r="P28" s="1">
        <f>Alice_Master_Analysis_View[[#This Row],[Net_Profit_75]]/Alice_Master_Analysis_View[[#This Row],[Revenue]]</f>
        <v>0.67926769648317453</v>
      </c>
      <c r="Q28" s="1">
        <f>(Alice_Master_Analysis_View[[#This Row],[Start_SoC]]-(Alice_Master_Analysis_View[[#This Row],[Start_SoC]]-Alice_Master_Analysis_View[[#This Row],[Avg_Burn_rate_per_min]]*60))/100*val_capacity*val_elec_rate*val_charging_loss</f>
        <v>135.82176384000002</v>
      </c>
      <c r="R28" s="1">
        <f>Alice_Master_Analysis_View[[#This Row],[Revenue]]*60/75-(Alice_Master_Analysis_View[[#This Row],[Depreciation_OpEx]]+Alice_Master_Analysis_View[[#This Row],[Sortie_60_energy_OpEx]]+val_ground_ops)</f>
        <v>2509.5138544220863</v>
      </c>
      <c r="S28" s="1">
        <f>Alice_Master_Analysis_View[[#This Row],[Net_Profit_60]]/Alice_Master_Analysis_View[[#This Row],[Revenue]]*(60/75)</f>
        <v>0.38867317135755575</v>
      </c>
      <c r="T28" s="1">
        <f>(Alice_Master_Analysis_View[[#This Row],[Net_Profit_75]]-Alice_Master_Analysis_View[[#This Row],[Net_Profit_60]])/Alice_Master_Analysis_View[[#This Row],[Net_Profit_75]]</f>
        <v>0.28475700123481584</v>
      </c>
      <c r="U28" s="1">
        <f>Alice_Master_Analysis_View[[#This Row],[Net_Profit_60]]/(Alice_Master_Analysis_View[[#This Row],[Start_SoC]]-Alice_Master_Analysis_View[[#This Row],[End_SoC]])/100*850</f>
        <v>215.29730708565853</v>
      </c>
    </row>
    <row r="29" spans="1:21" x14ac:dyDescent="0.2">
      <c r="A29" s="1" t="s">
        <v>30</v>
      </c>
      <c r="B29">
        <v>99.092166666666657</v>
      </c>
      <c r="C29">
        <v>1.873</v>
      </c>
      <c r="D29">
        <v>1.2962555555555553</v>
      </c>
      <c r="E29">
        <v>22.224666666666678</v>
      </c>
      <c r="F29">
        <v>2246.9537459200228</v>
      </c>
      <c r="G29">
        <v>22.487837940976156</v>
      </c>
      <c r="H29" s="1" t="s">
        <v>2</v>
      </c>
      <c r="I29" s="1" t="s">
        <v>133</v>
      </c>
      <c r="J29">
        <v>1</v>
      </c>
      <c r="K29">
        <f>(Alice_Master_Analysis_View[[#This Row],[Start_SoC]]-Alice_Master_Analysis_View[[#This Row],[End_SoC]])/100*val_capacity*val_elec_rate*val_charging_loss</f>
        <v>166.594764</v>
      </c>
      <c r="L29" s="1">
        <f>(val_battery_cost / val_cycle) * (1 + (Alice_Master_Analysis_View[[#This Row],[Payload(lbs)]] / val_max_payload) * val_stress_factor)</f>
        <v>285.76225407146723</v>
      </c>
      <c r="M29" s="1">
        <f>(Alice_Master_Analysis_View[[#This Row],[Sortie_75_energy_OpEx]]+Alice_Master_Analysis_View[[#This Row],[Depreciation_OpEx]]+val_ground_ops)</f>
        <v>1652.3570180714673</v>
      </c>
      <c r="N29" s="1">
        <f>Alice_Master_Analysis_View[[#This Row],[Payload(lbs)]]*val_yield_rate</f>
        <v>5055.6459283200511</v>
      </c>
      <c r="O29" s="1">
        <f>Alice_Master_Analysis_View[[#This Row],[Revenue]]-Alice_Master_Analysis_View[[#This Row],[Total_OpEx_75]]</f>
        <v>3403.2889102485838</v>
      </c>
      <c r="P29" s="1">
        <f>Alice_Master_Analysis_View[[#This Row],[Net_Profit_75]]/Alice_Master_Analysis_View[[#This Row],[Revenue]]</f>
        <v>0.67316599273388356</v>
      </c>
      <c r="Q29" s="1">
        <f>(Alice_Master_Analysis_View[[#This Row],[Start_SoC]]-(Alice_Master_Analysis_View[[#This Row],[Start_SoC]]-Alice_Master_Analysis_View[[#This Row],[Avg_Burn_rate_per_min]]*60))/100*val_capacity*val_elec_rate*val_charging_loss</f>
        <v>133.27581119999999</v>
      </c>
      <c r="R29" s="1">
        <f>Alice_Master_Analysis_View[[#This Row],[Revenue]]*60/75-(Alice_Master_Analysis_View[[#This Row],[Depreciation_OpEx]]+Alice_Master_Analysis_View[[#This Row],[Sortie_60_energy_OpEx]]+val_ground_ops)</f>
        <v>2425.4786773845735</v>
      </c>
      <c r="S29" s="1">
        <f>Alice_Master_Analysis_View[[#This Row],[Net_Profit_60]]/Alice_Master_Analysis_View[[#This Row],[Revenue]]*(60/75)</f>
        <v>0.38380514961268897</v>
      </c>
      <c r="T29" s="1">
        <f>(Alice_Master_Analysis_View[[#This Row],[Net_Profit_75]]-Alice_Master_Analysis_View[[#This Row],[Net_Profit_60]])/Alice_Master_Analysis_View[[#This Row],[Net_Profit_75]]</f>
        <v>0.28731331916002067</v>
      </c>
      <c r="U29" s="1">
        <f>Alice_Master_Analysis_View[[#This Row],[Net_Profit_60]]/(Alice_Master_Analysis_View[[#This Row],[Start_SoC]]-Alice_Master_Analysis_View[[#This Row],[End_SoC]])/100*850</f>
        <v>212.06280062507096</v>
      </c>
    </row>
    <row r="30" spans="1:21" x14ac:dyDescent="0.2">
      <c r="A30" s="1" t="s">
        <v>31</v>
      </c>
      <c r="B30">
        <v>99.079833333333326</v>
      </c>
      <c r="C30">
        <v>8.1499999999999989E-2</v>
      </c>
      <c r="D30">
        <v>1.3199777777777777</v>
      </c>
      <c r="E30">
        <v>20.801333333333332</v>
      </c>
      <c r="F30">
        <v>1746.1648643194485</v>
      </c>
      <c r="G30">
        <v>41.798023337492864</v>
      </c>
      <c r="H30" s="1" t="s">
        <v>2</v>
      </c>
      <c r="I30" s="1" t="s">
        <v>133</v>
      </c>
      <c r="J30">
        <v>1</v>
      </c>
      <c r="K30">
        <f>(Alice_Master_Analysis_View[[#This Row],[Start_SoC]]-Alice_Master_Analysis_View[[#This Row],[End_SoC]])/100*val_capacity*val_elec_rate*val_charging_loss</f>
        <v>169.64354399999999</v>
      </c>
      <c r="L30" s="1">
        <f>(val_battery_cost / val_cycle) * (1 + (Alice_Master_Analysis_View[[#This Row],[Payload(lbs)]] / val_max_payload) * val_stress_factor)</f>
        <v>274.07718016745383</v>
      </c>
      <c r="M30" s="1">
        <f>(Alice_Master_Analysis_View[[#This Row],[Sortie_75_energy_OpEx]]+Alice_Master_Analysis_View[[#This Row],[Depreciation_OpEx]]+val_ground_ops)</f>
        <v>1643.7207241674537</v>
      </c>
      <c r="N30" s="1">
        <f>Alice_Master_Analysis_View[[#This Row],[Payload(lbs)]]*val_yield_rate</f>
        <v>3928.8709447187593</v>
      </c>
      <c r="O30" s="1">
        <f>Alice_Master_Analysis_View[[#This Row],[Revenue]]-Alice_Master_Analysis_View[[#This Row],[Total_OpEx_75]]</f>
        <v>2285.1502205513057</v>
      </c>
      <c r="P30" s="1">
        <f>Alice_Master_Analysis_View[[#This Row],[Net_Profit_75]]/Alice_Master_Analysis_View[[#This Row],[Revenue]]</f>
        <v>0.58163025782840616</v>
      </c>
      <c r="Q30" s="1">
        <f>(Alice_Master_Analysis_View[[#This Row],[Start_SoC]]-(Alice_Master_Analysis_View[[#This Row],[Start_SoC]]-Alice_Master_Analysis_View[[#This Row],[Avg_Burn_rate_per_min]]*60))/100*val_capacity*val_elec_rate*val_charging_loss</f>
        <v>135.71483520000001</v>
      </c>
      <c r="R30" s="1">
        <f>Alice_Master_Analysis_View[[#This Row],[Revenue]]*60/75-(Alice_Master_Analysis_View[[#This Row],[Depreciation_OpEx]]+Alice_Master_Analysis_View[[#This Row],[Sortie_60_energy_OpEx]]+val_ground_ops)</f>
        <v>1533.3047404075539</v>
      </c>
      <c r="S30" s="1">
        <f>Alice_Master_Analysis_View[[#This Row],[Net_Profit_60]]/Alice_Master_Analysis_View[[#This Row],[Revenue]]*(60/75)</f>
        <v>0.3122127984312934</v>
      </c>
      <c r="T30" s="1">
        <f>(Alice_Master_Analysis_View[[#This Row],[Net_Profit_75]]-Alice_Master_Analysis_View[[#This Row],[Net_Profit_60]])/Alice_Master_Analysis_View[[#This Row],[Net_Profit_75]]</f>
        <v>0.32901359104626593</v>
      </c>
      <c r="U30" s="1">
        <f>Alice_Master_Analysis_View[[#This Row],[Net_Profit_60]]/(Alice_Master_Analysis_View[[#This Row],[Start_SoC]]-Alice_Master_Analysis_View[[#This Row],[End_SoC]])/100*850</f>
        <v>131.64959302477357</v>
      </c>
    </row>
    <row r="31" spans="1:21" x14ac:dyDescent="0.2">
      <c r="A31" s="1" t="s">
        <v>32</v>
      </c>
      <c r="B31">
        <v>99.149500000000003</v>
      </c>
      <c r="C31">
        <v>10.201666666666666</v>
      </c>
      <c r="D31">
        <v>1.1859711111111111</v>
      </c>
      <c r="E31">
        <v>28.841733333333337</v>
      </c>
      <c r="F31">
        <v>866.32746253844562</v>
      </c>
      <c r="G31">
        <v>13.50594129331099</v>
      </c>
      <c r="H31" s="1" t="s">
        <v>5</v>
      </c>
      <c r="I31" s="1" t="s">
        <v>133</v>
      </c>
      <c r="J31">
        <v>1</v>
      </c>
      <c r="K31">
        <f>(Alice_Master_Analysis_View[[#This Row],[Start_SoC]]-Alice_Master_Analysis_View[[#This Row],[End_SoC]])/100*val_capacity*val_elec_rate*val_charging_loss</f>
        <v>152.42100719999999</v>
      </c>
      <c r="L31" s="1">
        <f>(val_battery_cost / val_cycle) * (1 + (Alice_Master_Analysis_View[[#This Row],[Payload(lbs)]] / val_max_payload) * val_stress_factor)</f>
        <v>253.54764079256373</v>
      </c>
      <c r="M31" s="1">
        <f>(Alice_Master_Analysis_View[[#This Row],[Sortie_75_energy_OpEx]]+Alice_Master_Analysis_View[[#This Row],[Depreciation_OpEx]]+val_ground_ops)</f>
        <v>1605.9686479925638</v>
      </c>
      <c r="N31" s="1">
        <f>Alice_Master_Analysis_View[[#This Row],[Payload(lbs)]]*val_yield_rate</f>
        <v>1949.2367907115026</v>
      </c>
      <c r="O31" s="1">
        <f>Alice_Master_Analysis_View[[#This Row],[Revenue]]-Alice_Master_Analysis_View[[#This Row],[Total_OpEx_75]]</f>
        <v>343.26814271893886</v>
      </c>
      <c r="P31" s="1">
        <f>Alice_Master_Analysis_View[[#This Row],[Net_Profit_75]]/Alice_Master_Analysis_View[[#This Row],[Revenue]]</f>
        <v>0.17610387016840601</v>
      </c>
      <c r="Q31" s="1">
        <f>(Alice_Master_Analysis_View[[#This Row],[Start_SoC]]-(Alice_Master_Analysis_View[[#This Row],[Start_SoC]]-Alice_Master_Analysis_View[[#This Row],[Avg_Burn_rate_per_min]]*60))/100*val_capacity*val_elec_rate*val_charging_loss</f>
        <v>121.93680575999998</v>
      </c>
      <c r="R31" s="1">
        <f>Alice_Master_Analysis_View[[#This Row],[Revenue]]*60/75-(Alice_Master_Analysis_View[[#This Row],[Depreciation_OpEx]]+Alice_Master_Analysis_View[[#This Row],[Sortie_60_energy_OpEx]]+val_ground_ops)</f>
        <v>-16.095013983361696</v>
      </c>
      <c r="S31" s="1">
        <f>Alice_Master_Analysis_View[[#This Row],[Net_Profit_60]]/Alice_Master_Analysis_View[[#This Row],[Revenue]]*(60/75)</f>
        <v>-6.6056680481540704E-3</v>
      </c>
      <c r="T31" s="1">
        <f>(Alice_Master_Analysis_View[[#This Row],[Net_Profit_75]]-Alice_Master_Analysis_View[[#This Row],[Net_Profit_60]])/Alice_Master_Analysis_View[[#This Row],[Net_Profit_75]]</f>
        <v>1.0468875843120111</v>
      </c>
      <c r="U31" s="1">
        <f>Alice_Master_Analysis_View[[#This Row],[Net_Profit_60]]/(Alice_Master_Analysis_View[[#This Row],[Start_SoC]]-Alice_Master_Analysis_View[[#This Row],[End_SoC]])/100*850</f>
        <v>-1.5380657822870829</v>
      </c>
    </row>
    <row r="32" spans="1:21" x14ac:dyDescent="0.2">
      <c r="A32" s="1" t="s">
        <v>33</v>
      </c>
      <c r="B32">
        <v>99.080333333333328</v>
      </c>
      <c r="C32">
        <v>0.1275</v>
      </c>
      <c r="D32">
        <v>1.3193711111111111</v>
      </c>
      <c r="E32">
        <v>20.837733333333333</v>
      </c>
      <c r="F32">
        <v>2319.8586679009086</v>
      </c>
      <c r="G32">
        <v>30.122169214816985</v>
      </c>
      <c r="H32" s="1" t="s">
        <v>2</v>
      </c>
      <c r="I32" s="1" t="s">
        <v>133</v>
      </c>
      <c r="J32">
        <v>1</v>
      </c>
      <c r="K32">
        <f>(Alice_Master_Analysis_View[[#This Row],[Start_SoC]]-Alice_Master_Analysis_View[[#This Row],[End_SoC]])/100*val_capacity*val_elec_rate*val_charging_loss</f>
        <v>169.56557520000004</v>
      </c>
      <c r="L32" s="1">
        <f>(val_battery_cost / val_cycle) * (1 + (Alice_Master_Analysis_View[[#This Row],[Payload(lbs)]] / val_max_payload) * val_stress_factor)</f>
        <v>287.46336891768789</v>
      </c>
      <c r="M32" s="1">
        <f>(Alice_Master_Analysis_View[[#This Row],[Sortie_75_energy_OpEx]]+Alice_Master_Analysis_View[[#This Row],[Depreciation_OpEx]]+val_ground_ops)</f>
        <v>1657.0289441176878</v>
      </c>
      <c r="N32" s="1">
        <f>Alice_Master_Analysis_View[[#This Row],[Payload(lbs)]]*val_yield_rate</f>
        <v>5219.6820027770445</v>
      </c>
      <c r="O32" s="1">
        <f>Alice_Master_Analysis_View[[#This Row],[Revenue]]-Alice_Master_Analysis_View[[#This Row],[Total_OpEx_75]]</f>
        <v>3562.6530586593567</v>
      </c>
      <c r="P32" s="1">
        <f>Alice_Master_Analysis_View[[#This Row],[Net_Profit_75]]/Alice_Master_Analysis_View[[#This Row],[Revenue]]</f>
        <v>0.68254216574187976</v>
      </c>
      <c r="Q32" s="1">
        <f>(Alice_Master_Analysis_View[[#This Row],[Start_SoC]]-(Alice_Master_Analysis_View[[#This Row],[Start_SoC]]-Alice_Master_Analysis_View[[#This Row],[Avg_Burn_rate_per_min]]*60))/100*val_capacity*val_elec_rate*val_charging_loss</f>
        <v>135.65246016</v>
      </c>
      <c r="R32" s="1">
        <f>Alice_Master_Analysis_View[[#This Row],[Revenue]]*60/75-(Alice_Master_Analysis_View[[#This Row],[Depreciation_OpEx]]+Alice_Master_Analysis_View[[#This Row],[Sortie_60_energy_OpEx]]+val_ground_ops)</f>
        <v>2552.6297731439477</v>
      </c>
      <c r="S32" s="1">
        <f>Alice_Master_Analysis_View[[#This Row],[Net_Profit_60]]/Alice_Master_Analysis_View[[#This Row],[Revenue]]*(60/75)</f>
        <v>0.39123146150066057</v>
      </c>
      <c r="T32" s="1">
        <f>(Alice_Master_Analysis_View[[#This Row],[Net_Profit_75]]-Alice_Master_Analysis_View[[#This Row],[Net_Profit_60]])/Alice_Master_Analysis_View[[#This Row],[Net_Profit_75]]</f>
        <v>0.2835031278334707</v>
      </c>
      <c r="U32" s="1">
        <f>Alice_Master_Analysis_View[[#This Row],[Net_Profit_60]]/(Alice_Master_Analysis_View[[#This Row],[Start_SoC]]-Alice_Master_Analysis_View[[#This Row],[End_SoC]])/100*850</f>
        <v>219.26964939582552</v>
      </c>
    </row>
    <row r="33" spans="1:21" x14ac:dyDescent="0.2">
      <c r="A33" s="1" t="s">
        <v>34</v>
      </c>
      <c r="B33">
        <v>99.175166666666669</v>
      </c>
      <c r="C33">
        <v>13.945</v>
      </c>
      <c r="D33">
        <v>1.1364022222222221</v>
      </c>
      <c r="E33">
        <v>31.815866666666679</v>
      </c>
      <c r="F33">
        <v>752.7337366305793</v>
      </c>
      <c r="G33">
        <v>30.388558099507815</v>
      </c>
      <c r="H33" s="1" t="s">
        <v>2</v>
      </c>
      <c r="I33" s="1" t="s">
        <v>133</v>
      </c>
      <c r="J33">
        <v>1</v>
      </c>
      <c r="K33">
        <f>(Alice_Master_Analysis_View[[#This Row],[Start_SoC]]-Alice_Master_Analysis_View[[#This Row],[End_SoC]])/100*val_capacity*val_elec_rate*val_charging_loss</f>
        <v>146.05041360000001</v>
      </c>
      <c r="L33" s="1">
        <f>(val_battery_cost / val_cycle) * (1 + (Alice_Master_Analysis_View[[#This Row],[Payload(lbs)]] / val_max_payload) * val_stress_factor)</f>
        <v>250.8971205213802</v>
      </c>
      <c r="M33" s="1">
        <f>(Alice_Master_Analysis_View[[#This Row],[Sortie_75_energy_OpEx]]+Alice_Master_Analysis_View[[#This Row],[Depreciation_OpEx]]+val_ground_ops)</f>
        <v>1596.9475341213802</v>
      </c>
      <c r="N33" s="1">
        <f>Alice_Master_Analysis_View[[#This Row],[Payload(lbs)]]*val_yield_rate</f>
        <v>1693.6509074188034</v>
      </c>
      <c r="O33" s="1">
        <f>Alice_Master_Analysis_View[[#This Row],[Revenue]]-Alice_Master_Analysis_View[[#This Row],[Total_OpEx_75]]</f>
        <v>96.703373297423241</v>
      </c>
      <c r="P33" s="1">
        <f>Alice_Master_Analysis_View[[#This Row],[Net_Profit_75]]/Alice_Master_Analysis_View[[#This Row],[Revenue]]</f>
        <v>5.709758302246791E-2</v>
      </c>
      <c r="Q33" s="1">
        <f>(Alice_Master_Analysis_View[[#This Row],[Start_SoC]]-(Alice_Master_Analysis_View[[#This Row],[Start_SoC]]-Alice_Master_Analysis_View[[#This Row],[Avg_Burn_rate_per_min]]*60))/100*val_capacity*val_elec_rate*val_charging_loss</f>
        <v>116.84033087999997</v>
      </c>
      <c r="R33" s="1">
        <f>Alice_Master_Analysis_View[[#This Row],[Revenue]]*60/75-(Alice_Master_Analysis_View[[#This Row],[Depreciation_OpEx]]+Alice_Master_Analysis_View[[#This Row],[Sortie_60_energy_OpEx]]+val_ground_ops)</f>
        <v>-212.8167254663374</v>
      </c>
      <c r="S33" s="1">
        <f>Alice_Master_Analysis_View[[#This Row],[Net_Profit_60]]/Alice_Master_Analysis_View[[#This Row],[Revenue]]*(60/75)</f>
        <v>-0.10052448212751433</v>
      </c>
      <c r="T33" s="1">
        <f>(Alice_Master_Analysis_View[[#This Row],[Net_Profit_75]]-Alice_Master_Analysis_View[[#This Row],[Net_Profit_60]])/Alice_Master_Analysis_View[[#This Row],[Net_Profit_75]]</f>
        <v>3.2007166679883352</v>
      </c>
      <c r="U33" s="1">
        <f>Alice_Master_Analysis_View[[#This Row],[Net_Profit_60]]/(Alice_Master_Analysis_View[[#This Row],[Start_SoC]]-Alice_Master_Analysis_View[[#This Row],[End_SoC]])/100*850</f>
        <v>-21.224200740315361</v>
      </c>
    </row>
    <row r="34" spans="1:21" x14ac:dyDescent="0.2">
      <c r="A34" s="1" t="s">
        <v>35</v>
      </c>
      <c r="B34">
        <v>99.114999999999995</v>
      </c>
      <c r="C34">
        <v>10.220000000000001</v>
      </c>
      <c r="D34">
        <v>1.1852666666666667</v>
      </c>
      <c r="E34">
        <v>28.884</v>
      </c>
      <c r="F34">
        <v>837.61741023998718</v>
      </c>
      <c r="G34">
        <v>1.6929435935742745</v>
      </c>
      <c r="H34" s="1" t="s">
        <v>5</v>
      </c>
      <c r="I34" s="1" t="s">
        <v>133</v>
      </c>
      <c r="J34">
        <v>1</v>
      </c>
      <c r="K34">
        <f>(Alice_Master_Analysis_View[[#This Row],[Start_SoC]]-Alice_Master_Analysis_View[[#This Row],[End_SoC]])/100*val_capacity*val_elec_rate*val_charging_loss</f>
        <v>152.33047199999999</v>
      </c>
      <c r="L34" s="1">
        <f>(val_battery_cost / val_cycle) * (1 + (Alice_Master_Analysis_View[[#This Row],[Payload(lbs)]] / val_max_payload) * val_stress_factor)</f>
        <v>252.87773957226639</v>
      </c>
      <c r="M34" s="1">
        <f>(Alice_Master_Analysis_View[[#This Row],[Sortie_75_energy_OpEx]]+Alice_Master_Analysis_View[[#This Row],[Depreciation_OpEx]]+val_ground_ops)</f>
        <v>1605.2082115722665</v>
      </c>
      <c r="N34" s="1">
        <f>Alice_Master_Analysis_View[[#This Row],[Payload(lbs)]]*val_yield_rate</f>
        <v>1884.6391730399712</v>
      </c>
      <c r="O34" s="1">
        <f>Alice_Master_Analysis_View[[#This Row],[Revenue]]-Alice_Master_Analysis_View[[#This Row],[Total_OpEx_75]]</f>
        <v>279.43096146770472</v>
      </c>
      <c r="P34" s="1">
        <f>Alice_Master_Analysis_View[[#This Row],[Net_Profit_75]]/Alice_Master_Analysis_View[[#This Row],[Revenue]]</f>
        <v>0.14826761826083421</v>
      </c>
      <c r="Q34" s="1">
        <f>(Alice_Master_Analysis_View[[#This Row],[Start_SoC]]-(Alice_Master_Analysis_View[[#This Row],[Start_SoC]]-Alice_Master_Analysis_View[[#This Row],[Avg_Burn_rate_per_min]]*60))/100*val_capacity*val_elec_rate*val_charging_loss</f>
        <v>121.86437760000001</v>
      </c>
      <c r="R34" s="1">
        <f>Alice_Master_Analysis_View[[#This Row],[Revenue]]*60/75-(Alice_Master_Analysis_View[[#This Row],[Depreciation_OpEx]]+Alice_Master_Analysis_View[[#This Row],[Sortie_60_energy_OpEx]]+val_ground_ops)</f>
        <v>-67.030778740289179</v>
      </c>
      <c r="S34" s="1">
        <f>Alice_Master_Analysis_View[[#This Row],[Net_Profit_60]]/Alice_Master_Analysis_View[[#This Row],[Revenue]]*(60/75)</f>
        <v>-2.8453522435137258E-2</v>
      </c>
      <c r="T34" s="1">
        <f>(Alice_Master_Analysis_View[[#This Row],[Net_Profit_75]]-Alice_Master_Analysis_View[[#This Row],[Net_Profit_60]])/Alice_Master_Analysis_View[[#This Row],[Net_Profit_75]]</f>
        <v>1.239883148195932</v>
      </c>
      <c r="U34" s="1">
        <f>Alice_Master_Analysis_View[[#This Row],[Net_Profit_60]]/(Alice_Master_Analysis_View[[#This Row],[Start_SoC]]-Alice_Master_Analysis_View[[#This Row],[End_SoC]])/100*850</f>
        <v>-6.4093775723320556</v>
      </c>
    </row>
    <row r="35" spans="1:21" x14ac:dyDescent="0.2">
      <c r="A35" s="1" t="s">
        <v>36</v>
      </c>
      <c r="B35">
        <v>99.137999999999991</v>
      </c>
      <c r="C35">
        <v>10.521333333333333</v>
      </c>
      <c r="D35">
        <v>1.1815555555555555</v>
      </c>
      <c r="E35">
        <v>29.106666666666669</v>
      </c>
      <c r="F35">
        <v>1383.8868594791841</v>
      </c>
      <c r="G35">
        <v>29.962821518239185</v>
      </c>
      <c r="H35" s="1" t="s">
        <v>2</v>
      </c>
      <c r="I35" s="1" t="s">
        <v>133</v>
      </c>
      <c r="J35">
        <v>1</v>
      </c>
      <c r="K35">
        <f>(Alice_Master_Analysis_View[[#This Row],[Start_SoC]]-Alice_Master_Analysis_View[[#This Row],[End_SoC]])/100*val_capacity*val_elec_rate*val_charging_loss</f>
        <v>151.85352</v>
      </c>
      <c r="L35" s="1">
        <f>(val_battery_cost / val_cycle) * (1 + (Alice_Master_Analysis_View[[#This Row],[Payload(lbs)]] / val_max_payload) * val_stress_factor)</f>
        <v>265.624026721181</v>
      </c>
      <c r="M35" s="1">
        <f>(Alice_Master_Analysis_View[[#This Row],[Sortie_75_energy_OpEx]]+Alice_Master_Analysis_View[[#This Row],[Depreciation_OpEx]]+val_ground_ops)</f>
        <v>1617.4775467211809</v>
      </c>
      <c r="N35" s="1">
        <f>Alice_Master_Analysis_View[[#This Row],[Payload(lbs)]]*val_yield_rate</f>
        <v>3113.7454338281641</v>
      </c>
      <c r="O35" s="1">
        <f>Alice_Master_Analysis_View[[#This Row],[Revenue]]-Alice_Master_Analysis_View[[#This Row],[Total_OpEx_75]]</f>
        <v>1496.2678871069832</v>
      </c>
      <c r="P35" s="1">
        <f>Alice_Master_Analysis_View[[#This Row],[Net_Profit_75]]/Alice_Master_Analysis_View[[#This Row],[Revenue]]</f>
        <v>0.48053635690680441</v>
      </c>
      <c r="Q35" s="1">
        <f>(Alice_Master_Analysis_View[[#This Row],[Start_SoC]]-(Alice_Master_Analysis_View[[#This Row],[Start_SoC]]-Alice_Master_Analysis_View[[#This Row],[Avg_Burn_rate_per_min]]*60))/100*val_capacity*val_elec_rate*val_charging_loss</f>
        <v>121.48281600000001</v>
      </c>
      <c r="R35" s="1">
        <f>Alice_Master_Analysis_View[[#This Row],[Revenue]]*60/75-(Alice_Master_Analysis_View[[#This Row],[Depreciation_OpEx]]+Alice_Master_Analysis_View[[#This Row],[Sortie_60_energy_OpEx]]+val_ground_ops)</f>
        <v>903.88950434135018</v>
      </c>
      <c r="S35" s="1">
        <f>Alice_Master_Analysis_View[[#This Row],[Net_Profit_60]]/Alice_Master_Analysis_View[[#This Row],[Revenue]]*(60/75)</f>
        <v>0.232232087959759</v>
      </c>
      <c r="T35" s="1">
        <f>(Alice_Master_Analysis_View[[#This Row],[Net_Profit_75]]-Alice_Master_Analysis_View[[#This Row],[Net_Profit_60]])/Alice_Master_Analysis_View[[#This Row],[Net_Profit_75]]</f>
        <v>0.39590396069449157</v>
      </c>
      <c r="U35" s="1">
        <f>Alice_Master_Analysis_View[[#This Row],[Net_Profit_60]]/(Alice_Master_Analysis_View[[#This Row],[Start_SoC]]-Alice_Master_Analysis_View[[#This Row],[End_SoC]])/100*850</f>
        <v>86.699952457041306</v>
      </c>
    </row>
    <row r="36" spans="1:21" x14ac:dyDescent="0.2">
      <c r="A36" s="1" t="s">
        <v>37</v>
      </c>
      <c r="B36">
        <v>99.101500000000001</v>
      </c>
      <c r="C36">
        <v>10.671333333333333</v>
      </c>
      <c r="D36">
        <v>1.1790688888888889</v>
      </c>
      <c r="E36">
        <v>29.255866666666662</v>
      </c>
      <c r="F36">
        <v>1623.5284569887992</v>
      </c>
      <c r="G36">
        <v>12.99388179081458</v>
      </c>
      <c r="H36" s="1" t="s">
        <v>2</v>
      </c>
      <c r="I36" s="1" t="s">
        <v>133</v>
      </c>
      <c r="J36">
        <v>1</v>
      </c>
      <c r="K36">
        <f>(Alice_Master_Analysis_View[[#This Row],[Start_SoC]]-Alice_Master_Analysis_View[[#This Row],[End_SoC]])/100*val_capacity*val_elec_rate*val_charging_loss</f>
        <v>151.53393360000001</v>
      </c>
      <c r="L36" s="1">
        <f>(val_battery_cost / val_cycle) * (1 + (Alice_Master_Analysis_View[[#This Row],[Payload(lbs)]] / val_max_payload) * val_stress_factor)</f>
        <v>271.21566399640534</v>
      </c>
      <c r="M36" s="1">
        <f>(Alice_Master_Analysis_View[[#This Row],[Sortie_75_energy_OpEx]]+Alice_Master_Analysis_View[[#This Row],[Depreciation_OpEx]]+val_ground_ops)</f>
        <v>1622.7495975964052</v>
      </c>
      <c r="N36" s="1">
        <f>Alice_Master_Analysis_View[[#This Row],[Payload(lbs)]]*val_yield_rate</f>
        <v>3652.9390282247982</v>
      </c>
      <c r="O36" s="1">
        <f>Alice_Master_Analysis_View[[#This Row],[Revenue]]-Alice_Master_Analysis_View[[#This Row],[Total_OpEx_75]]</f>
        <v>2030.189430628393</v>
      </c>
      <c r="P36" s="1">
        <f>Alice_Master_Analysis_View[[#This Row],[Net_Profit_75]]/Alice_Master_Analysis_View[[#This Row],[Revenue]]</f>
        <v>0.55576877000736435</v>
      </c>
      <c r="Q36" s="1">
        <f>(Alice_Master_Analysis_View[[#This Row],[Start_SoC]]-(Alice_Master_Analysis_View[[#This Row],[Start_SoC]]-Alice_Master_Analysis_View[[#This Row],[Avg_Burn_rate_per_min]]*60))/100*val_capacity*val_elec_rate*val_charging_loss</f>
        <v>121.22714688000001</v>
      </c>
      <c r="R36" s="1">
        <f>Alice_Master_Analysis_View[[#This Row],[Revenue]]*60/75-(Alice_Master_Analysis_View[[#This Row],[Depreciation_OpEx]]+Alice_Master_Analysis_View[[#This Row],[Sortie_60_energy_OpEx]]+val_ground_ops)</f>
        <v>1329.9084117034331</v>
      </c>
      <c r="S36" s="1">
        <f>Alice_Master_Analysis_View[[#This Row],[Net_Profit_60]]/Alice_Master_Analysis_View[[#This Row],[Revenue]]*(60/75)</f>
        <v>0.29125225500404206</v>
      </c>
      <c r="T36" s="1">
        <f>(Alice_Master_Analysis_View[[#This Row],[Net_Profit_75]]-Alice_Master_Analysis_View[[#This Row],[Net_Profit_60]])/Alice_Master_Analysis_View[[#This Row],[Net_Profit_75]]</f>
        <v>0.34493383147414275</v>
      </c>
      <c r="U36" s="1">
        <f>Alice_Master_Analysis_View[[#This Row],[Net_Profit_60]]/(Alice_Master_Analysis_View[[#This Row],[Start_SoC]]-Alice_Master_Analysis_View[[#This Row],[End_SoC]])/100*850</f>
        <v>127.8321858432079</v>
      </c>
    </row>
    <row r="37" spans="1:21" x14ac:dyDescent="0.2">
      <c r="A37" s="1" t="s">
        <v>38</v>
      </c>
      <c r="B37">
        <v>99.064666666666668</v>
      </c>
      <c r="C37">
        <v>0</v>
      </c>
      <c r="D37">
        <v>1.3208622222222222</v>
      </c>
      <c r="E37">
        <v>20.748266666666666</v>
      </c>
      <c r="F37">
        <v>2099.9592737981675</v>
      </c>
      <c r="G37">
        <v>39.715722845257631</v>
      </c>
      <c r="H37" s="1" t="s">
        <v>5</v>
      </c>
      <c r="I37" s="1" t="s">
        <v>133</v>
      </c>
      <c r="J37">
        <v>1</v>
      </c>
      <c r="K37">
        <f>(Alice_Master_Analysis_View[[#This Row],[Start_SoC]]-Alice_Master_Analysis_View[[#This Row],[End_SoC]])/100*val_capacity*val_elec_rate*val_charging_loss</f>
        <v>169.75721280000002</v>
      </c>
      <c r="L37" s="1">
        <f>(val_battery_cost / val_cycle) * (1 + (Alice_Master_Analysis_View[[#This Row],[Payload(lbs)]] / val_max_payload) * val_stress_factor)</f>
        <v>282.33238305529056</v>
      </c>
      <c r="M37" s="1">
        <f>(Alice_Master_Analysis_View[[#This Row],[Sortie_75_energy_OpEx]]+Alice_Master_Analysis_View[[#This Row],[Depreciation_OpEx]]+val_ground_ops)</f>
        <v>1652.0895958552906</v>
      </c>
      <c r="N37" s="1">
        <f>Alice_Master_Analysis_View[[#This Row],[Payload(lbs)]]*val_yield_rate</f>
        <v>4724.9083660458764</v>
      </c>
      <c r="O37" s="1">
        <f>Alice_Master_Analysis_View[[#This Row],[Revenue]]-Alice_Master_Analysis_View[[#This Row],[Total_OpEx_75]]</f>
        <v>3072.8187701905858</v>
      </c>
      <c r="P37" s="1">
        <f>Alice_Master_Analysis_View[[#This Row],[Net_Profit_75]]/Alice_Master_Analysis_View[[#This Row],[Revenue]]</f>
        <v>0.65034462726779374</v>
      </c>
      <c r="Q37" s="1">
        <f>(Alice_Master_Analysis_View[[#This Row],[Start_SoC]]-(Alice_Master_Analysis_View[[#This Row],[Start_SoC]]-Alice_Master_Analysis_View[[#This Row],[Avg_Burn_rate_per_min]]*60))/100*val_capacity*val_elec_rate*val_charging_loss</f>
        <v>135.80577024000002</v>
      </c>
      <c r="R37" s="1">
        <f>Alice_Master_Analysis_View[[#This Row],[Revenue]]*60/75-(Alice_Master_Analysis_View[[#This Row],[Depreciation_OpEx]]+Alice_Master_Analysis_View[[#This Row],[Sortie_60_energy_OpEx]]+val_ground_ops)</f>
        <v>2161.788539541411</v>
      </c>
      <c r="S37" s="1">
        <f>Alice_Master_Analysis_View[[#This Row],[Net_Profit_60]]/Alice_Master_Analysis_View[[#This Row],[Revenue]]*(60/75)</f>
        <v>0.36602420568855049</v>
      </c>
      <c r="T37" s="1">
        <f>(Alice_Master_Analysis_View[[#This Row],[Net_Profit_75]]-Alice_Master_Analysis_View[[#This Row],[Net_Profit_60]])/Alice_Master_Analysis_View[[#This Row],[Net_Profit_75]]</f>
        <v>0.29648029994058839</v>
      </c>
      <c r="U37" s="1">
        <f>Alice_Master_Analysis_View[[#This Row],[Net_Profit_60]]/(Alice_Master_Analysis_View[[#This Row],[Start_SoC]]-Alice_Master_Analysis_View[[#This Row],[End_SoC]])/100*850</f>
        <v>185.48694710628743</v>
      </c>
    </row>
    <row r="38" spans="1:21" x14ac:dyDescent="0.2">
      <c r="A38" s="1" t="s">
        <v>39</v>
      </c>
      <c r="B38">
        <v>99.058833333333325</v>
      </c>
      <c r="C38">
        <v>0</v>
      </c>
      <c r="D38">
        <v>1.3207844444444443</v>
      </c>
      <c r="E38">
        <v>20.752933333333345</v>
      </c>
      <c r="F38">
        <v>1989.5057846282159</v>
      </c>
      <c r="G38">
        <v>43.76904145005804</v>
      </c>
      <c r="H38" s="1" t="s">
        <v>2</v>
      </c>
      <c r="I38" s="1" t="s">
        <v>133</v>
      </c>
      <c r="J38">
        <v>1</v>
      </c>
      <c r="K38">
        <f>(Alice_Master_Analysis_View[[#This Row],[Start_SoC]]-Alice_Master_Analysis_View[[#This Row],[End_SoC]])/100*val_capacity*val_elec_rate*val_charging_loss</f>
        <v>169.74721680000002</v>
      </c>
      <c r="L38" s="1">
        <f>(val_battery_cost / val_cycle) * (1 + (Alice_Master_Analysis_View[[#This Row],[Payload(lbs)]] / val_max_payload) * val_stress_factor)</f>
        <v>279.7551349746584</v>
      </c>
      <c r="M38" s="1">
        <f>(Alice_Master_Analysis_View[[#This Row],[Sortie_75_energy_OpEx]]+Alice_Master_Analysis_View[[#This Row],[Depreciation_OpEx]]+val_ground_ops)</f>
        <v>1649.5023517746586</v>
      </c>
      <c r="N38" s="1">
        <f>Alice_Master_Analysis_View[[#This Row],[Payload(lbs)]]*val_yield_rate</f>
        <v>4476.3880154134858</v>
      </c>
      <c r="O38" s="1">
        <f>Alice_Master_Analysis_View[[#This Row],[Revenue]]-Alice_Master_Analysis_View[[#This Row],[Total_OpEx_75]]</f>
        <v>2826.8856636388273</v>
      </c>
      <c r="P38" s="1">
        <f>Alice_Master_Analysis_View[[#This Row],[Net_Profit_75]]/Alice_Master_Analysis_View[[#This Row],[Revenue]]</f>
        <v>0.63151041730633051</v>
      </c>
      <c r="Q38" s="1">
        <f>(Alice_Master_Analysis_View[[#This Row],[Start_SoC]]-(Alice_Master_Analysis_View[[#This Row],[Start_SoC]]-Alice_Master_Analysis_View[[#This Row],[Avg_Burn_rate_per_min]]*60))/100*val_capacity*val_elec_rate*val_charging_loss</f>
        <v>135.79777343999999</v>
      </c>
      <c r="R38" s="1">
        <f>Alice_Master_Analysis_View[[#This Row],[Revenue]]*60/75-(Alice_Master_Analysis_View[[#This Row],[Depreciation_OpEx]]+Alice_Master_Analysis_View[[#This Row],[Sortie_60_energy_OpEx]]+val_ground_ops)</f>
        <v>1965.5575039161304</v>
      </c>
      <c r="S38" s="1">
        <f>Alice_Master_Analysis_View[[#This Row],[Net_Profit_60]]/Alice_Master_Analysis_View[[#This Row],[Revenue]]*(60/75)</f>
        <v>0.35127562617863384</v>
      </c>
      <c r="T38" s="1">
        <f>(Alice_Master_Analysis_View[[#This Row],[Net_Profit_75]]-Alice_Master_Analysis_View[[#This Row],[Net_Profit_60]])/Alice_Master_Analysis_View[[#This Row],[Net_Profit_75]]</f>
        <v>0.30469154476307225</v>
      </c>
      <c r="U38" s="1">
        <f>Alice_Master_Analysis_View[[#This Row],[Net_Profit_60]]/(Alice_Master_Analysis_View[[#This Row],[Start_SoC]]-Alice_Master_Analysis_View[[#This Row],[End_SoC]])/100*850</f>
        <v>168.65975724817181</v>
      </c>
    </row>
    <row r="39" spans="1:21" x14ac:dyDescent="0.2">
      <c r="A39" s="1" t="s">
        <v>40</v>
      </c>
      <c r="B39">
        <v>99.176000000000002</v>
      </c>
      <c r="C39">
        <v>14.095000000000001</v>
      </c>
      <c r="D39">
        <v>1.1344133333333333</v>
      </c>
      <c r="E39">
        <v>31.935200000000009</v>
      </c>
      <c r="F39">
        <v>718.19086046664711</v>
      </c>
      <c r="G39">
        <v>30.747113472230712</v>
      </c>
      <c r="H39" s="1" t="s">
        <v>2</v>
      </c>
      <c r="I39" s="1" t="s">
        <v>133</v>
      </c>
      <c r="J39">
        <v>1</v>
      </c>
      <c r="K39">
        <f>(Alice_Master_Analysis_View[[#This Row],[Start_SoC]]-Alice_Master_Analysis_View[[#This Row],[End_SoC]])/100*val_capacity*val_elec_rate*val_charging_loss</f>
        <v>145.79480160000003</v>
      </c>
      <c r="L39" s="1">
        <f>(val_battery_cost / val_cycle) * (1 + (Alice_Master_Analysis_View[[#This Row],[Payload(lbs)]] / val_max_payload) * val_stress_factor)</f>
        <v>250.09112007755513</v>
      </c>
      <c r="M39" s="1">
        <f>(Alice_Master_Analysis_View[[#This Row],[Sortie_75_energy_OpEx]]+Alice_Master_Analysis_View[[#This Row],[Depreciation_OpEx]]+val_ground_ops)</f>
        <v>1595.8859216775552</v>
      </c>
      <c r="N39" s="1">
        <f>Alice_Master_Analysis_View[[#This Row],[Payload(lbs)]]*val_yield_rate</f>
        <v>1615.9294360499559</v>
      </c>
      <c r="O39" s="1">
        <f>Alice_Master_Analysis_View[[#This Row],[Revenue]]-Alice_Master_Analysis_View[[#This Row],[Total_OpEx_75]]</f>
        <v>20.04351437240075</v>
      </c>
      <c r="P39" s="1">
        <f>Alice_Master_Analysis_View[[#This Row],[Net_Profit_75]]/Alice_Master_Analysis_View[[#This Row],[Revenue]]</f>
        <v>1.2403706452303967E-2</v>
      </c>
      <c r="Q39" s="1">
        <f>(Alice_Master_Analysis_View[[#This Row],[Start_SoC]]-(Alice_Master_Analysis_View[[#This Row],[Start_SoC]]-Alice_Master_Analysis_View[[#This Row],[Avg_Burn_rate_per_min]]*60))/100*val_capacity*val_elec_rate*val_charging_loss</f>
        <v>116.63584127999999</v>
      </c>
      <c r="R39" s="1">
        <f>Alice_Master_Analysis_View[[#This Row],[Revenue]]*60/75-(Alice_Master_Analysis_View[[#This Row],[Depreciation_OpEx]]+Alice_Master_Analysis_View[[#This Row],[Sortie_60_energy_OpEx]]+val_ground_ops)</f>
        <v>-273.9834125175903</v>
      </c>
      <c r="S39" s="1">
        <f>Alice_Master_Analysis_View[[#This Row],[Net_Profit_60]]/Alice_Master_Analysis_View[[#This Row],[Revenue]]*(60/75)</f>
        <v>-0.13564127561774061</v>
      </c>
      <c r="T39" s="1">
        <f>(Alice_Master_Analysis_View[[#This Row],[Net_Profit_75]]-Alice_Master_Analysis_View[[#This Row],[Net_Profit_60]])/Alice_Master_Analysis_View[[#This Row],[Net_Profit_75]]</f>
        <v>14.669429792953689</v>
      </c>
      <c r="U39" s="1">
        <f>Alice_Master_Analysis_View[[#This Row],[Net_Profit_60]]/(Alice_Master_Analysis_View[[#This Row],[Start_SoC]]-Alice_Master_Analysis_View[[#This Row],[End_SoC]])/100*850</f>
        <v>-27.372257100874666</v>
      </c>
    </row>
    <row r="40" spans="1:21" x14ac:dyDescent="0.2">
      <c r="A40" s="1" t="s">
        <v>41</v>
      </c>
      <c r="B40">
        <v>99.138666666666666</v>
      </c>
      <c r="C40">
        <v>10.611166666666666</v>
      </c>
      <c r="D40">
        <v>1.1803666666666668</v>
      </c>
      <c r="E40">
        <v>29.177999999999997</v>
      </c>
      <c r="F40">
        <v>874.27233718808156</v>
      </c>
      <c r="G40">
        <v>39.94577824816853</v>
      </c>
      <c r="H40" s="1" t="s">
        <v>5</v>
      </c>
      <c r="I40" s="1" t="s">
        <v>133</v>
      </c>
      <c r="J40">
        <v>1</v>
      </c>
      <c r="K40">
        <f>(Alice_Master_Analysis_View[[#This Row],[Start_SoC]]-Alice_Master_Analysis_View[[#This Row],[End_SoC]])/100*val_capacity*val_elec_rate*val_charging_loss</f>
        <v>151.70072400000001</v>
      </c>
      <c r="L40" s="1">
        <f>(val_battery_cost / val_cycle) * (1 + (Alice_Master_Analysis_View[[#This Row],[Payload(lbs)]] / val_max_payload) * val_stress_factor)</f>
        <v>253.73302120105527</v>
      </c>
      <c r="M40" s="1">
        <f>(Alice_Master_Analysis_View[[#This Row],[Sortie_75_energy_OpEx]]+Alice_Master_Analysis_View[[#This Row],[Depreciation_OpEx]]+val_ground_ops)</f>
        <v>1605.4337452010552</v>
      </c>
      <c r="N40" s="1">
        <f>Alice_Master_Analysis_View[[#This Row],[Payload(lbs)]]*val_yield_rate</f>
        <v>1967.1127586731836</v>
      </c>
      <c r="O40" s="1">
        <f>Alice_Master_Analysis_View[[#This Row],[Revenue]]-Alice_Master_Analysis_View[[#This Row],[Total_OpEx_75]]</f>
        <v>361.67901347212842</v>
      </c>
      <c r="P40" s="1">
        <f>Alice_Master_Analysis_View[[#This Row],[Net_Profit_75]]/Alice_Master_Analysis_View[[#This Row],[Revenue]]</f>
        <v>0.18386287815858643</v>
      </c>
      <c r="Q40" s="1">
        <f>(Alice_Master_Analysis_View[[#This Row],[Start_SoC]]-(Alice_Master_Analysis_View[[#This Row],[Start_SoC]]-Alice_Master_Analysis_View[[#This Row],[Avg_Burn_rate_per_min]]*60))/100*val_capacity*val_elec_rate*val_charging_loss</f>
        <v>121.36057920000002</v>
      </c>
      <c r="R40" s="1">
        <f>Alice_Master_Analysis_View[[#This Row],[Revenue]]*60/75-(Alice_Master_Analysis_View[[#This Row],[Depreciation_OpEx]]+Alice_Master_Analysis_View[[#This Row],[Sortie_60_energy_OpEx]]+val_ground_ops)</f>
        <v>-1.4033934625083475</v>
      </c>
      <c r="S40" s="1">
        <f>Alice_Master_Analysis_View[[#This Row],[Net_Profit_60]]/Alice_Master_Analysis_View[[#This Row],[Revenue]]*(60/75)</f>
        <v>-5.7074245747048506E-4</v>
      </c>
      <c r="T40" s="1">
        <f>(Alice_Master_Analysis_View[[#This Row],[Net_Profit_75]]-Alice_Master_Analysis_View[[#This Row],[Net_Profit_60]])/Alice_Master_Analysis_View[[#This Row],[Net_Profit_75]]</f>
        <v>1.0038802181222397</v>
      </c>
      <c r="U40" s="1">
        <f>Alice_Master_Analysis_View[[#This Row],[Net_Profit_60]]/(Alice_Master_Analysis_View[[#This Row],[Start_SoC]]-Alice_Master_Analysis_View[[#This Row],[End_SoC]])/100*850</f>
        <v>-0.13474733197391719</v>
      </c>
    </row>
    <row r="41" spans="1:21" x14ac:dyDescent="0.2">
      <c r="A41" s="1" t="s">
        <v>42</v>
      </c>
      <c r="B41">
        <v>99.056666666666658</v>
      </c>
      <c r="C41">
        <v>0</v>
      </c>
      <c r="D41">
        <v>1.3207555555555555</v>
      </c>
      <c r="E41">
        <v>20.754666666666679</v>
      </c>
      <c r="F41">
        <v>1841.7838907036876</v>
      </c>
      <c r="G41">
        <v>2.4635289549210668</v>
      </c>
      <c r="H41" s="1" t="s">
        <v>2</v>
      </c>
      <c r="I41" s="1" t="s">
        <v>133</v>
      </c>
      <c r="J41">
        <v>1</v>
      </c>
      <c r="K41">
        <f>(Alice_Master_Analysis_View[[#This Row],[Start_SoC]]-Alice_Master_Analysis_View[[#This Row],[End_SoC]])/100*val_capacity*val_elec_rate*val_charging_loss</f>
        <v>169.743504</v>
      </c>
      <c r="L41" s="1">
        <f>(val_battery_cost / val_cycle) * (1 + (Alice_Master_Analysis_View[[#This Row],[Payload(lbs)]] / val_max_payload) * val_stress_factor)</f>
        <v>276.30829078308608</v>
      </c>
      <c r="M41" s="1">
        <f>(Alice_Master_Analysis_View[[#This Row],[Sortie_75_energy_OpEx]]+Alice_Master_Analysis_View[[#This Row],[Depreciation_OpEx]]+val_ground_ops)</f>
        <v>1646.0517947830861</v>
      </c>
      <c r="N41" s="1">
        <f>Alice_Master_Analysis_View[[#This Row],[Payload(lbs)]]*val_yield_rate</f>
        <v>4144.0137540832966</v>
      </c>
      <c r="O41" s="1">
        <f>Alice_Master_Analysis_View[[#This Row],[Revenue]]-Alice_Master_Analysis_View[[#This Row],[Total_OpEx_75]]</f>
        <v>2497.9619593002108</v>
      </c>
      <c r="P41" s="1">
        <f>Alice_Master_Analysis_View[[#This Row],[Net_Profit_75]]/Alice_Master_Analysis_View[[#This Row],[Revenue]]</f>
        <v>0.60278804741872505</v>
      </c>
      <c r="Q41" s="1">
        <f>(Alice_Master_Analysis_View[[#This Row],[Start_SoC]]-(Alice_Master_Analysis_View[[#This Row],[Start_SoC]]-Alice_Master_Analysis_View[[#This Row],[Avg_Burn_rate_per_min]]*60))/100*val_capacity*val_elec_rate*val_charging_loss</f>
        <v>135.79480319999999</v>
      </c>
      <c r="R41" s="1">
        <f>Alice_Master_Analysis_View[[#This Row],[Revenue]]*60/75-(Alice_Master_Analysis_View[[#This Row],[Depreciation_OpEx]]+Alice_Master_Analysis_View[[#This Row],[Sortie_60_energy_OpEx]]+val_ground_ops)</f>
        <v>1703.1079092835512</v>
      </c>
      <c r="S41" s="1">
        <f>Alice_Master_Analysis_View[[#This Row],[Net_Profit_60]]/Alice_Master_Analysis_View[[#This Row],[Revenue]]*(60/75)</f>
        <v>0.32878421942598951</v>
      </c>
      <c r="T41" s="1">
        <f>(Alice_Master_Analysis_View[[#This Row],[Net_Profit_75]]-Alice_Master_Analysis_View[[#This Row],[Net_Profit_60]])/Alice_Master_Analysis_View[[#This Row],[Net_Profit_75]]</f>
        <v>0.31820102266062261</v>
      </c>
      <c r="U41" s="1">
        <f>Alice_Master_Analysis_View[[#This Row],[Net_Profit_60]]/(Alice_Master_Analysis_View[[#This Row],[Start_SoC]]-Alice_Master_Analysis_View[[#This Row],[End_SoC]])/100*850</f>
        <v>146.14278590278479</v>
      </c>
    </row>
    <row r="42" spans="1:21" x14ac:dyDescent="0.2">
      <c r="A42" s="1" t="s">
        <v>43</v>
      </c>
      <c r="B42">
        <v>99.150999999999996</v>
      </c>
      <c r="C42">
        <v>10.394166666666667</v>
      </c>
      <c r="D42">
        <v>1.1834244444444444</v>
      </c>
      <c r="E42">
        <v>28.994533333333337</v>
      </c>
      <c r="F42">
        <v>864.24989860113328</v>
      </c>
      <c r="G42">
        <v>36.104668450990737</v>
      </c>
      <c r="H42" s="1" t="s">
        <v>5</v>
      </c>
      <c r="I42" s="1" t="s">
        <v>133</v>
      </c>
      <c r="J42">
        <v>1</v>
      </c>
      <c r="K42">
        <f>(Alice_Master_Analysis_View[[#This Row],[Start_SoC]]-Alice_Master_Analysis_View[[#This Row],[End_SoC]])/100*val_capacity*val_elec_rate*val_charging_loss</f>
        <v>152.09370960000001</v>
      </c>
      <c r="L42" s="1">
        <f>(val_battery_cost / val_cycle) * (1 + (Alice_Master_Analysis_View[[#This Row],[Payload(lbs)]] / val_max_payload) * val_stress_factor)</f>
        <v>253.49916430069311</v>
      </c>
      <c r="M42" s="1">
        <f>(Alice_Master_Analysis_View[[#This Row],[Sortie_75_energy_OpEx]]+Alice_Master_Analysis_View[[#This Row],[Depreciation_OpEx]]+val_ground_ops)</f>
        <v>1605.5928739006931</v>
      </c>
      <c r="N42" s="1">
        <f>Alice_Master_Analysis_View[[#This Row],[Payload(lbs)]]*val_yield_rate</f>
        <v>1944.5622718525499</v>
      </c>
      <c r="O42" s="1">
        <f>Alice_Master_Analysis_View[[#This Row],[Revenue]]-Alice_Master_Analysis_View[[#This Row],[Total_OpEx_75]]</f>
        <v>338.96939795185676</v>
      </c>
      <c r="P42" s="1">
        <f>Alice_Master_Analysis_View[[#This Row],[Net_Profit_75]]/Alice_Master_Analysis_View[[#This Row],[Revenue]]</f>
        <v>0.17431655589456985</v>
      </c>
      <c r="Q42" s="1">
        <f>(Alice_Master_Analysis_View[[#This Row],[Start_SoC]]-(Alice_Master_Analysis_View[[#This Row],[Start_SoC]]-Alice_Master_Analysis_View[[#This Row],[Avg_Burn_rate_per_min]]*60))/100*val_capacity*val_elec_rate*val_charging_loss</f>
        <v>121.67496768000001</v>
      </c>
      <c r="R42" s="1">
        <f>Alice_Master_Analysis_View[[#This Row],[Revenue]]*60/75-(Alice_Master_Analysis_View[[#This Row],[Depreciation_OpEx]]+Alice_Master_Analysis_View[[#This Row],[Sortie_60_energy_OpEx]]+val_ground_ops)</f>
        <v>-19.524314498653212</v>
      </c>
      <c r="S42" s="1">
        <f>Alice_Master_Analysis_View[[#This Row],[Net_Profit_60]]/Alice_Master_Analysis_View[[#This Row],[Revenue]]*(60/75)</f>
        <v>-8.0323740849102231E-3</v>
      </c>
      <c r="T42" s="1">
        <f>(Alice_Master_Analysis_View[[#This Row],[Net_Profit_75]]-Alice_Master_Analysis_View[[#This Row],[Net_Profit_60]])/Alice_Master_Analysis_View[[#This Row],[Net_Profit_75]]</f>
        <v>1.05759904763269</v>
      </c>
      <c r="U42" s="1">
        <f>Alice_Master_Analysis_View[[#This Row],[Net_Profit_60]]/(Alice_Master_Analysis_View[[#This Row],[Start_SoC]]-Alice_Master_Analysis_View[[#This Row],[End_SoC]])/100*850</f>
        <v>-1.8697903812688859</v>
      </c>
    </row>
    <row r="43" spans="1:21" x14ac:dyDescent="0.2">
      <c r="A43" s="1" t="s">
        <v>44</v>
      </c>
      <c r="B43">
        <v>99.056666666666658</v>
      </c>
      <c r="C43">
        <v>0</v>
      </c>
      <c r="D43">
        <v>1.3207555555555555</v>
      </c>
      <c r="E43">
        <v>20.754666666666679</v>
      </c>
      <c r="F43">
        <v>2193.23858689504</v>
      </c>
      <c r="G43">
        <v>9.5133836612214289</v>
      </c>
      <c r="H43" s="1" t="s">
        <v>2</v>
      </c>
      <c r="I43" s="1" t="s">
        <v>133</v>
      </c>
      <c r="J43">
        <v>1</v>
      </c>
      <c r="K43">
        <f>(Alice_Master_Analysis_View[[#This Row],[Start_SoC]]-Alice_Master_Analysis_View[[#This Row],[End_SoC]])/100*val_capacity*val_elec_rate*val_charging_loss</f>
        <v>169.743504</v>
      </c>
      <c r="L43" s="1">
        <f>(val_battery_cost / val_cycle) * (1 + (Alice_Master_Analysis_View[[#This Row],[Payload(lbs)]] / val_max_payload) * val_stress_factor)</f>
        <v>284.5089003608843</v>
      </c>
      <c r="M43" s="1">
        <f>(Alice_Master_Analysis_View[[#This Row],[Sortie_75_energy_OpEx]]+Alice_Master_Analysis_View[[#This Row],[Depreciation_OpEx]]+val_ground_ops)</f>
        <v>1654.2524043608842</v>
      </c>
      <c r="N43" s="1">
        <f>Alice_Master_Analysis_View[[#This Row],[Payload(lbs)]]*val_yield_rate</f>
        <v>4934.7868205138402</v>
      </c>
      <c r="O43" s="1">
        <f>Alice_Master_Analysis_View[[#This Row],[Revenue]]-Alice_Master_Analysis_View[[#This Row],[Total_OpEx_75]]</f>
        <v>3280.5344161529561</v>
      </c>
      <c r="P43" s="1">
        <f>Alice_Master_Analysis_View[[#This Row],[Net_Profit_75]]/Alice_Master_Analysis_View[[#This Row],[Revenue]]</f>
        <v>0.66477733192360411</v>
      </c>
      <c r="Q43" s="1">
        <f>(Alice_Master_Analysis_View[[#This Row],[Start_SoC]]-(Alice_Master_Analysis_View[[#This Row],[Start_SoC]]-Alice_Master_Analysis_View[[#This Row],[Avg_Burn_rate_per_min]]*60))/100*val_capacity*val_elec_rate*val_charging_loss</f>
        <v>135.79480319999999</v>
      </c>
      <c r="R43" s="1">
        <f>Alice_Master_Analysis_View[[#This Row],[Revenue]]*60/75-(Alice_Master_Analysis_View[[#This Row],[Depreciation_OpEx]]+Alice_Master_Analysis_View[[#This Row],[Sortie_60_energy_OpEx]]+val_ground_ops)</f>
        <v>2327.5257528501879</v>
      </c>
      <c r="S43" s="1">
        <f>Alice_Master_Analysis_View[[#This Row],[Net_Profit_60]]/Alice_Master_Analysis_View[[#This Row],[Revenue]]*(60/75)</f>
        <v>0.37732543876865293</v>
      </c>
      <c r="T43" s="1">
        <f>(Alice_Master_Analysis_View[[#This Row],[Net_Profit_75]]-Alice_Master_Analysis_View[[#This Row],[Net_Profit_60]])/Alice_Master_Analysis_View[[#This Row],[Net_Profit_75]]</f>
        <v>0.29050408939783356</v>
      </c>
      <c r="U43" s="1">
        <f>Alice_Master_Analysis_View[[#This Row],[Net_Profit_60]]/(Alice_Master_Analysis_View[[#This Row],[Start_SoC]]-Alice_Master_Analysis_View[[#This Row],[End_SoC]])/100*850</f>
        <v>199.7237496977481</v>
      </c>
    </row>
    <row r="44" spans="1:21" x14ac:dyDescent="0.2">
      <c r="A44" s="1" t="s">
        <v>45</v>
      </c>
      <c r="B44">
        <v>99.064666666666668</v>
      </c>
      <c r="C44">
        <v>0</v>
      </c>
      <c r="D44">
        <v>1.3208622222222222</v>
      </c>
      <c r="E44">
        <v>20.748266666666666</v>
      </c>
      <c r="F44">
        <v>1772.8027719946456</v>
      </c>
      <c r="G44">
        <v>3.7750015791294822</v>
      </c>
      <c r="H44" s="1" t="s">
        <v>2</v>
      </c>
      <c r="I44" s="1" t="s">
        <v>133</v>
      </c>
      <c r="J44">
        <v>1</v>
      </c>
      <c r="K44">
        <f>(Alice_Master_Analysis_View[[#This Row],[Start_SoC]]-Alice_Master_Analysis_View[[#This Row],[End_SoC]])/100*val_capacity*val_elec_rate*val_charging_loss</f>
        <v>169.75721280000002</v>
      </c>
      <c r="L44" s="1">
        <f>(val_battery_cost / val_cycle) * (1 + (Alice_Master_Analysis_View[[#This Row],[Payload(lbs)]] / val_max_payload) * val_stress_factor)</f>
        <v>274.69873134654176</v>
      </c>
      <c r="M44" s="1">
        <f>(Alice_Master_Analysis_View[[#This Row],[Sortie_75_energy_OpEx]]+Alice_Master_Analysis_View[[#This Row],[Depreciation_OpEx]]+val_ground_ops)</f>
        <v>1644.4559441465417</v>
      </c>
      <c r="N44" s="1">
        <f>Alice_Master_Analysis_View[[#This Row],[Payload(lbs)]]*val_yield_rate</f>
        <v>3988.8062369879526</v>
      </c>
      <c r="O44" s="1">
        <f>Alice_Master_Analysis_View[[#This Row],[Revenue]]-Alice_Master_Analysis_View[[#This Row],[Total_OpEx_75]]</f>
        <v>2344.3502928414109</v>
      </c>
      <c r="P44" s="1">
        <f>Alice_Master_Analysis_View[[#This Row],[Net_Profit_75]]/Alice_Master_Analysis_View[[#This Row],[Revenue]]</f>
        <v>0.58773230725082515</v>
      </c>
      <c r="Q44" s="1">
        <f>(Alice_Master_Analysis_View[[#This Row],[Start_SoC]]-(Alice_Master_Analysis_View[[#This Row],[Start_SoC]]-Alice_Master_Analysis_View[[#This Row],[Avg_Burn_rate_per_min]]*60))/100*val_capacity*val_elec_rate*val_charging_loss</f>
        <v>135.80577024000002</v>
      </c>
      <c r="R44" s="1">
        <f>Alice_Master_Analysis_View[[#This Row],[Revenue]]*60/75-(Alice_Master_Analysis_View[[#This Row],[Depreciation_OpEx]]+Alice_Master_Analysis_View[[#This Row],[Sortie_60_energy_OpEx]]+val_ground_ops)</f>
        <v>1580.5404880038204</v>
      </c>
      <c r="S44" s="1">
        <f>Alice_Master_Analysis_View[[#This Row],[Net_Profit_60]]/Alice_Master_Analysis_View[[#This Row],[Revenue]]*(60/75)</f>
        <v>0.31699518985857306</v>
      </c>
      <c r="T44" s="1">
        <f>(Alice_Master_Analysis_View[[#This Row],[Net_Profit_75]]-Alice_Master_Analysis_View[[#This Row],[Net_Profit_60]])/Alice_Master_Analysis_View[[#This Row],[Net_Profit_75]]</f>
        <v>0.32580873565265456</v>
      </c>
      <c r="U44" s="1">
        <f>Alice_Master_Analysis_View[[#This Row],[Net_Profit_60]]/(Alice_Master_Analysis_View[[#This Row],[Start_SoC]]-Alice_Master_Analysis_View[[#This Row],[End_SoC]])/100*850</f>
        <v>135.61438805661427</v>
      </c>
    </row>
    <row r="45" spans="1:21" x14ac:dyDescent="0.2">
      <c r="A45" s="1" t="s">
        <v>46</v>
      </c>
      <c r="B45">
        <v>99.123666666666665</v>
      </c>
      <c r="C45">
        <v>10.6165</v>
      </c>
      <c r="D45">
        <v>1.1800955555555555</v>
      </c>
      <c r="E45">
        <v>29.194266666666678</v>
      </c>
      <c r="F45">
        <v>1345.6278515577735</v>
      </c>
      <c r="G45">
        <v>35.429604404651812</v>
      </c>
      <c r="H45" s="1" t="s">
        <v>2</v>
      </c>
      <c r="I45" s="1" t="s">
        <v>133</v>
      </c>
      <c r="J45">
        <v>1</v>
      </c>
      <c r="K45">
        <f>(Alice_Master_Analysis_View[[#This Row],[Start_SoC]]-Alice_Master_Analysis_View[[#This Row],[End_SoC]])/100*val_capacity*val_elec_rate*val_charging_loss</f>
        <v>151.6658808</v>
      </c>
      <c r="L45" s="1">
        <f>(val_battery_cost / val_cycle) * (1 + (Alice_Master_Analysis_View[[#This Row],[Payload(lbs)]] / val_max_payload) * val_stress_factor)</f>
        <v>264.73131653634806</v>
      </c>
      <c r="M45" s="1">
        <f>(Alice_Master_Analysis_View[[#This Row],[Sortie_75_energy_OpEx]]+Alice_Master_Analysis_View[[#This Row],[Depreciation_OpEx]]+val_ground_ops)</f>
        <v>1616.3971973363482</v>
      </c>
      <c r="N45" s="1">
        <f>Alice_Master_Analysis_View[[#This Row],[Payload(lbs)]]*val_yield_rate</f>
        <v>3027.6626660049906</v>
      </c>
      <c r="O45" s="1">
        <f>Alice_Master_Analysis_View[[#This Row],[Revenue]]-Alice_Master_Analysis_View[[#This Row],[Total_OpEx_75]]</f>
        <v>1411.2654686686424</v>
      </c>
      <c r="P45" s="1">
        <f>Alice_Master_Analysis_View[[#This Row],[Net_Profit_75]]/Alice_Master_Analysis_View[[#This Row],[Revenue]]</f>
        <v>0.46612374770628301</v>
      </c>
      <c r="Q45" s="1">
        <f>(Alice_Master_Analysis_View[[#This Row],[Start_SoC]]-(Alice_Master_Analysis_View[[#This Row],[Start_SoC]]-Alice_Master_Analysis_View[[#This Row],[Avg_Burn_rate_per_min]]*60))/100*val_capacity*val_elec_rate*val_charging_loss</f>
        <v>121.33270463999999</v>
      </c>
      <c r="R45" s="1">
        <f>Alice_Master_Analysis_View[[#This Row],[Revenue]]*60/75-(Alice_Master_Analysis_View[[#This Row],[Depreciation_OpEx]]+Alice_Master_Analysis_View[[#This Row],[Sortie_60_energy_OpEx]]+val_ground_ops)</f>
        <v>836.06611162764466</v>
      </c>
      <c r="S45" s="1">
        <f>Alice_Master_Analysis_View[[#This Row],[Net_Profit_60]]/Alice_Master_Analysis_View[[#This Row],[Revenue]]*(60/75)</f>
        <v>0.22091394025235611</v>
      </c>
      <c r="T45" s="1">
        <f>(Alice_Master_Analysis_View[[#This Row],[Net_Profit_75]]-Alice_Master_Analysis_View[[#This Row],[Net_Profit_60]])/Alice_Master_Analysis_View[[#This Row],[Net_Profit_75]]</f>
        <v>0.40757700787763801</v>
      </c>
      <c r="U45" s="1">
        <f>Alice_Master_Analysis_View[[#This Row],[Net_Profit_60]]/(Alice_Master_Analysis_View[[#This Row],[Start_SoC]]-Alice_Master_Analysis_View[[#This Row],[End_SoC]])/100*850</f>
        <v>80.293632894153362</v>
      </c>
    </row>
    <row r="46" spans="1:21" x14ac:dyDescent="0.2">
      <c r="A46" s="1" t="s">
        <v>47</v>
      </c>
      <c r="B46">
        <v>99.067333333333337</v>
      </c>
      <c r="C46">
        <v>0</v>
      </c>
      <c r="D46">
        <v>1.3208977777777777</v>
      </c>
      <c r="E46">
        <v>20.746133333333333</v>
      </c>
      <c r="F46">
        <v>1497.834087705766</v>
      </c>
      <c r="G46">
        <v>-0.97147246683555</v>
      </c>
      <c r="H46" s="1" t="s">
        <v>2</v>
      </c>
      <c r="I46" s="1" t="s">
        <v>133</v>
      </c>
      <c r="J46">
        <v>1</v>
      </c>
      <c r="K46">
        <f>(Alice_Master_Analysis_View[[#This Row],[Start_SoC]]-Alice_Master_Analysis_View[[#This Row],[End_SoC]])/100*val_capacity*val_elec_rate*val_charging_loss</f>
        <v>169.76178240000004</v>
      </c>
      <c r="L46" s="1">
        <f>(val_battery_cost / val_cycle) * (1 + (Alice_Master_Analysis_View[[#This Row],[Payload(lbs)]] / val_max_payload) * val_stress_factor)</f>
        <v>268.28279537980126</v>
      </c>
      <c r="M46" s="1">
        <f>(Alice_Master_Analysis_View[[#This Row],[Sortie_75_energy_OpEx]]+Alice_Master_Analysis_View[[#This Row],[Depreciation_OpEx]]+val_ground_ops)</f>
        <v>1638.0445777798013</v>
      </c>
      <c r="N46" s="1">
        <f>Alice_Master_Analysis_View[[#This Row],[Payload(lbs)]]*val_yield_rate</f>
        <v>3370.1266973379734</v>
      </c>
      <c r="O46" s="1">
        <f>Alice_Master_Analysis_View[[#This Row],[Revenue]]-Alice_Master_Analysis_View[[#This Row],[Total_OpEx_75]]</f>
        <v>1732.0821195581721</v>
      </c>
      <c r="P46" s="1">
        <f>Alice_Master_Analysis_View[[#This Row],[Net_Profit_75]]/Alice_Master_Analysis_View[[#This Row],[Revenue]]</f>
        <v>0.5139516330131817</v>
      </c>
      <c r="Q46" s="1">
        <f>(Alice_Master_Analysis_View[[#This Row],[Start_SoC]]-(Alice_Master_Analysis_View[[#This Row],[Start_SoC]]-Alice_Master_Analysis_View[[#This Row],[Avg_Burn_rate_per_min]]*60))/100*val_capacity*val_elec_rate*val_charging_loss</f>
        <v>135.80942592</v>
      </c>
      <c r="R46" s="1">
        <f>Alice_Master_Analysis_View[[#This Row],[Revenue]]*60/75-(Alice_Master_Analysis_View[[#This Row],[Depreciation_OpEx]]+Alice_Master_Analysis_View[[#This Row],[Sortie_60_energy_OpEx]]+val_ground_ops)</f>
        <v>1092.0091365705775</v>
      </c>
      <c r="S46" s="1">
        <f>Alice_Master_Analysis_View[[#This Row],[Net_Profit_60]]/Alice_Master_Analysis_View[[#This Row],[Revenue]]*(60/75)</f>
        <v>0.25922090998730551</v>
      </c>
      <c r="T46" s="1">
        <f>(Alice_Master_Analysis_View[[#This Row],[Net_Profit_75]]-Alice_Master_Analysis_View[[#This Row],[Net_Profit_60]])/Alice_Master_Analysis_View[[#This Row],[Net_Profit_75]]</f>
        <v>0.36953962849686794</v>
      </c>
      <c r="U46" s="1">
        <f>Alice_Master_Analysis_View[[#This Row],[Net_Profit_60]]/(Alice_Master_Analysis_View[[#This Row],[Start_SoC]]-Alice_Master_Analysis_View[[#This Row],[End_SoC]])/100*850</f>
        <v>93.694635239835961</v>
      </c>
    </row>
    <row r="47" spans="1:21" x14ac:dyDescent="0.2">
      <c r="A47" s="1" t="s">
        <v>48</v>
      </c>
      <c r="B47">
        <v>99.186666666666667</v>
      </c>
      <c r="C47">
        <v>15.526999999999999</v>
      </c>
      <c r="D47">
        <v>1.1154622222222221</v>
      </c>
      <c r="E47">
        <v>33.072266666666678</v>
      </c>
      <c r="F47">
        <v>711.80459408069942</v>
      </c>
      <c r="G47">
        <v>22.326926510292559</v>
      </c>
      <c r="H47" s="1" t="s">
        <v>2</v>
      </c>
      <c r="I47" s="1" t="s">
        <v>133</v>
      </c>
      <c r="J47">
        <v>1</v>
      </c>
      <c r="K47">
        <f>(Alice_Master_Analysis_View[[#This Row],[Start_SoC]]-Alice_Master_Analysis_View[[#This Row],[End_SoC]])/100*val_capacity*val_elec_rate*val_charging_loss</f>
        <v>143.35920480000001</v>
      </c>
      <c r="L47" s="1">
        <f>(val_battery_cost / val_cycle) * (1 + (Alice_Master_Analysis_View[[#This Row],[Payload(lbs)]] / val_max_payload) * val_stress_factor)</f>
        <v>249.94210719521629</v>
      </c>
      <c r="M47" s="1">
        <f>(Alice_Master_Analysis_View[[#This Row],[Sortie_75_energy_OpEx]]+Alice_Master_Analysis_View[[#This Row],[Depreciation_OpEx]]+val_ground_ops)</f>
        <v>1593.3013119952163</v>
      </c>
      <c r="N47" s="1">
        <f>Alice_Master_Analysis_View[[#This Row],[Payload(lbs)]]*val_yield_rate</f>
        <v>1601.5603366815737</v>
      </c>
      <c r="O47" s="1">
        <f>Alice_Master_Analysis_View[[#This Row],[Revenue]]-Alice_Master_Analysis_View[[#This Row],[Total_OpEx_75]]</f>
        <v>8.2590246863574066</v>
      </c>
      <c r="P47" s="1">
        <f>Alice_Master_Analysis_View[[#This Row],[Net_Profit_75]]/Alice_Master_Analysis_View[[#This Row],[Revenue]]</f>
        <v>5.1568614039668786E-3</v>
      </c>
      <c r="Q47" s="1">
        <f>(Alice_Master_Analysis_View[[#This Row],[Start_SoC]]-(Alice_Master_Analysis_View[[#This Row],[Start_SoC]]-Alice_Master_Analysis_View[[#This Row],[Avg_Burn_rate_per_min]]*60))/100*val_capacity*val_elec_rate*val_charging_loss</f>
        <v>114.68736383999997</v>
      </c>
      <c r="R47" s="1">
        <f>Alice_Master_Analysis_View[[#This Row],[Revenue]]*60/75-(Alice_Master_Analysis_View[[#This Row],[Depreciation_OpEx]]+Alice_Master_Analysis_View[[#This Row],[Sortie_60_energy_OpEx]]+val_ground_ops)</f>
        <v>-283.38120168995738</v>
      </c>
      <c r="S47" s="1">
        <f>Alice_Master_Analysis_View[[#This Row],[Net_Profit_60]]/Alice_Master_Analysis_View[[#This Row],[Revenue]]*(60/75)</f>
        <v>-0.14155255731526023</v>
      </c>
      <c r="T47" s="1">
        <f>(Alice_Master_Analysis_View[[#This Row],[Net_Profit_75]]-Alice_Master_Analysis_View[[#This Row],[Net_Profit_60]])/Alice_Master_Analysis_View[[#This Row],[Net_Profit_75]]</f>
        <v>35.311702949387957</v>
      </c>
      <c r="U47" s="1">
        <f>Alice_Master_Analysis_View[[#This Row],[Net_Profit_60]]/(Alice_Master_Analysis_View[[#This Row],[Start_SoC]]-Alice_Master_Analysis_View[[#This Row],[End_SoC]])/100*850</f>
        <v>-28.792132581187722</v>
      </c>
    </row>
    <row r="48" spans="1:21" x14ac:dyDescent="0.2">
      <c r="A48" s="1" t="s">
        <v>49</v>
      </c>
      <c r="B48">
        <v>99.066666666666663</v>
      </c>
      <c r="C48">
        <v>0</v>
      </c>
      <c r="D48">
        <v>1.3208888888888888</v>
      </c>
      <c r="E48">
        <v>20.74666666666667</v>
      </c>
      <c r="F48">
        <v>2335.2977883802232</v>
      </c>
      <c r="G48">
        <v>34.382062331002786</v>
      </c>
      <c r="H48" s="1" t="s">
        <v>2</v>
      </c>
      <c r="I48" s="1" t="s">
        <v>133</v>
      </c>
      <c r="J48">
        <v>1</v>
      </c>
      <c r="K48">
        <f>(Alice_Master_Analysis_View[[#This Row],[Start_SoC]]-Alice_Master_Analysis_View[[#This Row],[End_SoC]])/100*val_capacity*val_elec_rate*val_charging_loss</f>
        <v>169.76064</v>
      </c>
      <c r="L48" s="1">
        <f>(val_battery_cost / val_cycle) * (1 + (Alice_Master_Analysis_View[[#This Row],[Payload(lbs)]] / val_max_payload) * val_stress_factor)</f>
        <v>287.82361506220525</v>
      </c>
      <c r="M48" s="1">
        <f>(Alice_Master_Analysis_View[[#This Row],[Sortie_75_energy_OpEx]]+Alice_Master_Analysis_View[[#This Row],[Depreciation_OpEx]]+val_ground_ops)</f>
        <v>1657.5842550622051</v>
      </c>
      <c r="N48" s="1">
        <f>Alice_Master_Analysis_View[[#This Row],[Payload(lbs)]]*val_yield_rate</f>
        <v>5254.4200238555022</v>
      </c>
      <c r="O48" s="1">
        <f>Alice_Master_Analysis_View[[#This Row],[Revenue]]-Alice_Master_Analysis_View[[#This Row],[Total_OpEx_75]]</f>
        <v>3596.8357687932971</v>
      </c>
      <c r="P48" s="1">
        <f>Alice_Master_Analysis_View[[#This Row],[Net_Profit_75]]/Alice_Master_Analysis_View[[#This Row],[Revenue]]</f>
        <v>0.68453525840404172</v>
      </c>
      <c r="Q48" s="1">
        <f>(Alice_Master_Analysis_View[[#This Row],[Start_SoC]]-(Alice_Master_Analysis_View[[#This Row],[Start_SoC]]-Alice_Master_Analysis_View[[#This Row],[Avg_Burn_rate_per_min]]*60))/100*val_capacity*val_elec_rate*val_charging_loss</f>
        <v>135.80851200000001</v>
      </c>
      <c r="R48" s="1">
        <f>Alice_Master_Analysis_View[[#This Row],[Revenue]]*60/75-(Alice_Master_Analysis_View[[#This Row],[Depreciation_OpEx]]+Alice_Master_Analysis_View[[#This Row],[Sortie_60_energy_OpEx]]+val_ground_ops)</f>
        <v>2579.903892022196</v>
      </c>
      <c r="S48" s="1">
        <f>Alice_Master_Analysis_View[[#This Row],[Net_Profit_60]]/Alice_Master_Analysis_View[[#This Row],[Revenue]]*(60/75)</f>
        <v>0.3927975122368168</v>
      </c>
      <c r="T48" s="1">
        <f>(Alice_Master_Analysis_View[[#This Row],[Net_Profit_75]]-Alice_Master_Analysis_View[[#This Row],[Net_Profit_60]])/Alice_Master_Analysis_View[[#This Row],[Net_Profit_75]]</f>
        <v>0.28272958292790545</v>
      </c>
      <c r="U48" s="1">
        <f>Alice_Master_Analysis_View[[#This Row],[Net_Profit_60]]/(Alice_Master_Analysis_View[[#This Row],[Start_SoC]]-Alice_Master_Analysis_View[[#This Row],[End_SoC]])/100*850</f>
        <v>221.35783730338494</v>
      </c>
    </row>
    <row r="49" spans="1:21" x14ac:dyDescent="0.2">
      <c r="A49" s="1" t="s">
        <v>50</v>
      </c>
      <c r="B49">
        <v>99.167000000000002</v>
      </c>
      <c r="C49">
        <v>12.7515</v>
      </c>
      <c r="D49">
        <v>1.1522066666666668</v>
      </c>
      <c r="E49">
        <v>30.867599999999996</v>
      </c>
      <c r="F49">
        <v>1042.0295997944311</v>
      </c>
      <c r="G49">
        <v>22.724012422017729</v>
      </c>
      <c r="H49" s="1" t="s">
        <v>2</v>
      </c>
      <c r="I49" s="1" t="s">
        <v>133</v>
      </c>
      <c r="J49">
        <v>1</v>
      </c>
      <c r="K49">
        <f>(Alice_Master_Analysis_View[[#This Row],[Start_SoC]]-Alice_Master_Analysis_View[[#This Row],[End_SoC]])/100*val_capacity*val_elec_rate*val_charging_loss</f>
        <v>148.08160080000005</v>
      </c>
      <c r="L49" s="1">
        <f>(val_battery_cost / val_cycle) * (1 + (Alice_Master_Analysis_View[[#This Row],[Payload(lbs)]] / val_max_payload) * val_stress_factor)</f>
        <v>257.64735732853677</v>
      </c>
      <c r="M49" s="1">
        <f>(Alice_Master_Analysis_View[[#This Row],[Sortie_75_energy_OpEx]]+Alice_Master_Analysis_View[[#This Row],[Depreciation_OpEx]]+val_ground_ops)</f>
        <v>1605.7289581285368</v>
      </c>
      <c r="N49" s="1">
        <f>Alice_Master_Analysis_View[[#This Row],[Payload(lbs)]]*val_yield_rate</f>
        <v>2344.5665995374698</v>
      </c>
      <c r="O49" s="1">
        <f>Alice_Master_Analysis_View[[#This Row],[Revenue]]-Alice_Master_Analysis_View[[#This Row],[Total_OpEx_75]]</f>
        <v>738.837641408933</v>
      </c>
      <c r="P49" s="1">
        <f>Alice_Master_Analysis_View[[#This Row],[Net_Profit_75]]/Alice_Master_Analysis_View[[#This Row],[Revenue]]</f>
        <v>0.31512759823273478</v>
      </c>
      <c r="Q49" s="1">
        <f>(Alice_Master_Analysis_View[[#This Row],[Start_SoC]]-(Alice_Master_Analysis_View[[#This Row],[Start_SoC]]-Alice_Master_Analysis_View[[#This Row],[Avg_Burn_rate_per_min]]*60))/100*val_capacity*val_elec_rate*val_charging_loss</f>
        <v>118.46528064</v>
      </c>
      <c r="R49" s="1">
        <f>Alice_Master_Analysis_View[[#This Row],[Revenue]]*60/75-(Alice_Master_Analysis_View[[#This Row],[Depreciation_OpEx]]+Alice_Master_Analysis_View[[#This Row],[Sortie_60_energy_OpEx]]+val_ground_ops)</f>
        <v>299.54064166143894</v>
      </c>
      <c r="S49" s="1">
        <f>Alice_Master_Analysis_View[[#This Row],[Net_Profit_60]]/Alice_Master_Analysis_View[[#This Row],[Revenue]]*(60/75)</f>
        <v>0.10220759494587413</v>
      </c>
      <c r="T49" s="1">
        <f>(Alice_Master_Analysis_View[[#This Row],[Net_Profit_75]]-Alice_Master_Analysis_View[[#This Row],[Net_Profit_60]])/Alice_Master_Analysis_View[[#This Row],[Net_Profit_75]]</f>
        <v>0.59457853136688155</v>
      </c>
      <c r="U49" s="1">
        <f>Alice_Master_Analysis_View[[#This Row],[Net_Profit_60]]/(Alice_Master_Analysis_View[[#This Row],[Start_SoC]]-Alice_Master_Analysis_View[[#This Row],[End_SoC]])/100*850</f>
        <v>29.46341170417611</v>
      </c>
    </row>
    <row r="50" spans="1:21" x14ac:dyDescent="0.2">
      <c r="A50" s="1" t="s">
        <v>51</v>
      </c>
      <c r="B50">
        <v>99.12166666666667</v>
      </c>
      <c r="C50">
        <v>10.368333333333334</v>
      </c>
      <c r="D50">
        <v>1.1833777777777776</v>
      </c>
      <c r="E50">
        <v>28.997333333333344</v>
      </c>
      <c r="F50">
        <v>523.65287286989417</v>
      </c>
      <c r="G50">
        <v>-2.4727208578310913</v>
      </c>
      <c r="H50" s="1" t="s">
        <v>2</v>
      </c>
      <c r="I50" s="1" t="s">
        <v>133</v>
      </c>
      <c r="J50">
        <v>1</v>
      </c>
      <c r="K50">
        <f>(Alice_Master_Analysis_View[[#This Row],[Start_SoC]]-Alice_Master_Analysis_View[[#This Row],[End_SoC]])/100*val_capacity*val_elec_rate*val_charging_loss</f>
        <v>152.08771200000001</v>
      </c>
      <c r="L50" s="1">
        <f>(val_battery_cost / val_cycle) * (1 + (Alice_Master_Analysis_View[[#This Row],[Payload(lbs)]] / val_max_payload) * val_stress_factor)</f>
        <v>245.55190036696419</v>
      </c>
      <c r="M50" s="1">
        <f>(Alice_Master_Analysis_View[[#This Row],[Sortie_75_energy_OpEx]]+Alice_Master_Analysis_View[[#This Row],[Depreciation_OpEx]]+val_ground_ops)</f>
        <v>1597.6396123669642</v>
      </c>
      <c r="N50" s="1">
        <f>Alice_Master_Analysis_View[[#This Row],[Payload(lbs)]]*val_yield_rate</f>
        <v>1178.2189639572618</v>
      </c>
      <c r="O50" s="1">
        <f>Alice_Master_Analysis_View[[#This Row],[Revenue]]-Alice_Master_Analysis_View[[#This Row],[Total_OpEx_75]]</f>
        <v>-419.42064840970238</v>
      </c>
      <c r="P50" s="1">
        <f>Alice_Master_Analysis_View[[#This Row],[Net_Profit_75]]/Alice_Master_Analysis_View[[#This Row],[Revenue]]</f>
        <v>-0.3559785245698322</v>
      </c>
      <c r="Q50" s="1">
        <f>(Alice_Master_Analysis_View[[#This Row],[Start_SoC]]-(Alice_Master_Analysis_View[[#This Row],[Start_SoC]]-Alice_Master_Analysis_View[[#This Row],[Avg_Burn_rate_per_min]]*60))/100*val_capacity*val_elec_rate*val_charging_loss</f>
        <v>121.67016959999999</v>
      </c>
      <c r="R50" s="1">
        <f>Alice_Master_Analysis_View[[#This Row],[Revenue]]*60/75-(Alice_Master_Analysis_View[[#This Row],[Depreciation_OpEx]]+Alice_Master_Analysis_View[[#This Row],[Sortie_60_energy_OpEx]]+val_ground_ops)</f>
        <v>-624.64689880115463</v>
      </c>
      <c r="S50" s="1">
        <f>Alice_Master_Analysis_View[[#This Row],[Net_Profit_60]]/Alice_Master_Analysis_View[[#This Row],[Revenue]]*(60/75)</f>
        <v>-0.42412958399730044</v>
      </c>
      <c r="T50" s="1">
        <f>(Alice_Master_Analysis_View[[#This Row],[Net_Profit_75]]-Alice_Master_Analysis_View[[#This Row],[Net_Profit_60]])/Alice_Master_Analysis_View[[#This Row],[Net_Profit_75]]</f>
        <v>-0.48930888636408104</v>
      </c>
      <c r="U50" s="1">
        <f>Alice_Master_Analysis_View[[#This Row],[Net_Profit_60]]/(Alice_Master_Analysis_View[[#This Row],[Start_SoC]]-Alice_Master_Analysis_View[[#This Row],[End_SoC]])/100*850</f>
        <v>-59.82308990997312</v>
      </c>
    </row>
    <row r="51" spans="1:21" x14ac:dyDescent="0.2">
      <c r="A51" s="1" t="s">
        <v>52</v>
      </c>
      <c r="B51">
        <v>99.135000000000005</v>
      </c>
      <c r="C51">
        <v>10.221666666666666</v>
      </c>
      <c r="D51">
        <v>1.1855111111111112</v>
      </c>
      <c r="E51">
        <v>28.86933333333333</v>
      </c>
      <c r="F51">
        <v>879.74193294549434</v>
      </c>
      <c r="G51">
        <v>9.2547861827449545</v>
      </c>
      <c r="H51" s="1" t="s">
        <v>2</v>
      </c>
      <c r="I51" s="1" t="s">
        <v>133</v>
      </c>
      <c r="J51">
        <v>1</v>
      </c>
      <c r="K51">
        <f>(Alice_Master_Analysis_View[[#This Row],[Start_SoC]]-Alice_Master_Analysis_View[[#This Row],[End_SoC]])/100*val_capacity*val_elec_rate*val_charging_loss</f>
        <v>152.36188800000005</v>
      </c>
      <c r="L51" s="1">
        <f>(val_battery_cost / val_cycle) * (1 + (Alice_Master_Analysis_View[[#This Row],[Payload(lbs)]] / val_max_payload) * val_stress_factor)</f>
        <v>253.86064510206157</v>
      </c>
      <c r="M51" s="1">
        <f>(Alice_Master_Analysis_View[[#This Row],[Sortie_75_energy_OpEx]]+Alice_Master_Analysis_View[[#This Row],[Depreciation_OpEx]]+val_ground_ops)</f>
        <v>1606.2225331020616</v>
      </c>
      <c r="N51" s="1">
        <f>Alice_Master_Analysis_View[[#This Row],[Payload(lbs)]]*val_yield_rate</f>
        <v>1979.4193491273622</v>
      </c>
      <c r="O51" s="1">
        <f>Alice_Master_Analysis_View[[#This Row],[Revenue]]-Alice_Master_Analysis_View[[#This Row],[Total_OpEx_75]]</f>
        <v>373.19681602530068</v>
      </c>
      <c r="P51" s="1">
        <f>Alice_Master_Analysis_View[[#This Row],[Net_Profit_75]]/Alice_Master_Analysis_View[[#This Row],[Revenue]]</f>
        <v>0.18853853085240704</v>
      </c>
      <c r="Q51" s="1">
        <f>(Alice_Master_Analysis_View[[#This Row],[Start_SoC]]-(Alice_Master_Analysis_View[[#This Row],[Start_SoC]]-Alice_Master_Analysis_View[[#This Row],[Avg_Burn_rate_per_min]]*60))/100*val_capacity*val_elec_rate*val_charging_loss</f>
        <v>121.88951040000001</v>
      </c>
      <c r="R51" s="1">
        <f>Alice_Master_Analysis_View[[#This Row],[Revenue]]*60/75-(Alice_Master_Analysis_View[[#This Row],[Depreciation_OpEx]]+Alice_Master_Analysis_View[[#This Row],[Sortie_60_energy_OpEx]]+val_ground_ops)</f>
        <v>7.7853237998281202</v>
      </c>
      <c r="S51" s="1">
        <f>Alice_Master_Analysis_View[[#This Row],[Net_Profit_60]]/Alice_Master_Analysis_View[[#This Row],[Revenue]]*(60/75)</f>
        <v>3.1465081123958185E-3</v>
      </c>
      <c r="T51" s="1">
        <f>(Alice_Master_Analysis_View[[#This Row],[Net_Profit_75]]-Alice_Master_Analysis_View[[#This Row],[Net_Profit_60]])/Alice_Master_Analysis_View[[#This Row],[Net_Profit_75]]</f>
        <v>0.97913882577363598</v>
      </c>
      <c r="U51" s="1">
        <f>Alice_Master_Analysis_View[[#This Row],[Net_Profit_60]]/(Alice_Master_Analysis_View[[#This Row],[Start_SoC]]-Alice_Master_Analysis_View[[#This Row],[End_SoC]])/100*850</f>
        <v>0.74426691495695085</v>
      </c>
    </row>
    <row r="52" spans="1:21" x14ac:dyDescent="0.2">
      <c r="A52" s="1" t="s">
        <v>53</v>
      </c>
      <c r="B52">
        <v>99.080999999999989</v>
      </c>
      <c r="C52">
        <v>0.16283333333333333</v>
      </c>
      <c r="D52">
        <v>1.3189088888888887</v>
      </c>
      <c r="E52">
        <v>20.865466666666677</v>
      </c>
      <c r="F52">
        <v>2072.0165994488748</v>
      </c>
      <c r="G52">
        <v>34.948286154940462</v>
      </c>
      <c r="H52" s="1" t="s">
        <v>2</v>
      </c>
      <c r="I52" s="1" t="s">
        <v>133</v>
      </c>
      <c r="J52">
        <v>1</v>
      </c>
      <c r="K52">
        <f>(Alice_Master_Analysis_View[[#This Row],[Start_SoC]]-Alice_Master_Analysis_View[[#This Row],[End_SoC]])/100*val_capacity*val_elec_rate*val_charging_loss</f>
        <v>169.5061704</v>
      </c>
      <c r="L52" s="1">
        <f>(val_battery_cost / val_cycle) * (1 + (Alice_Master_Analysis_View[[#This Row],[Payload(lbs)]] / val_max_payload) * val_stress_factor)</f>
        <v>281.68038732047376</v>
      </c>
      <c r="M52" s="1">
        <f>(Alice_Master_Analysis_View[[#This Row],[Sortie_75_energy_OpEx]]+Alice_Master_Analysis_View[[#This Row],[Depreciation_OpEx]]+val_ground_ops)</f>
        <v>1651.1865577204737</v>
      </c>
      <c r="N52" s="1">
        <f>Alice_Master_Analysis_View[[#This Row],[Payload(lbs)]]*val_yield_rate</f>
        <v>4662.0373487599682</v>
      </c>
      <c r="O52" s="1">
        <f>Alice_Master_Analysis_View[[#This Row],[Revenue]]-Alice_Master_Analysis_View[[#This Row],[Total_OpEx_75]]</f>
        <v>3010.8507910394947</v>
      </c>
      <c r="P52" s="1">
        <f>Alice_Master_Analysis_View[[#This Row],[Net_Profit_75]]/Alice_Master_Analysis_View[[#This Row],[Revenue]]</f>
        <v>0.64582296661358485</v>
      </c>
      <c r="Q52" s="1">
        <f>(Alice_Master_Analysis_View[[#This Row],[Start_SoC]]-(Alice_Master_Analysis_View[[#This Row],[Start_SoC]]-Alice_Master_Analysis_View[[#This Row],[Avg_Burn_rate_per_min]]*60))/100*val_capacity*val_elec_rate*val_charging_loss</f>
        <v>135.60493631999998</v>
      </c>
      <c r="R52" s="1">
        <f>Alice_Master_Analysis_View[[#This Row],[Revenue]]*60/75-(Alice_Master_Analysis_View[[#This Row],[Depreciation_OpEx]]+Alice_Master_Analysis_View[[#This Row],[Sortie_60_energy_OpEx]]+val_ground_ops)</f>
        <v>2112.344555367501</v>
      </c>
      <c r="S52" s="1">
        <f>Alice_Master_Analysis_View[[#This Row],[Net_Profit_60]]/Alice_Master_Analysis_View[[#This Row],[Revenue]]*(60/75)</f>
        <v>0.36247578427132987</v>
      </c>
      <c r="T52" s="1">
        <f>(Alice_Master_Analysis_View[[#This Row],[Net_Profit_75]]-Alice_Master_Analysis_View[[#This Row],[Net_Profit_60]])/Alice_Master_Analysis_View[[#This Row],[Net_Profit_75]]</f>
        <v>0.29842270442162455</v>
      </c>
      <c r="U52" s="1">
        <f>Alice_Master_Analysis_View[[#This Row],[Net_Profit_60]]/(Alice_Master_Analysis_View[[#This Row],[Start_SoC]]-Alice_Master_Analysis_View[[#This Row],[End_SoC]])/100*850</f>
        <v>181.51295485619019</v>
      </c>
    </row>
    <row r="53" spans="1:21" x14ac:dyDescent="0.2">
      <c r="A53" s="1" t="s">
        <v>54</v>
      </c>
      <c r="B53">
        <v>99.120833333333337</v>
      </c>
      <c r="C53">
        <v>10.258666666666667</v>
      </c>
      <c r="D53">
        <v>1.1848288888888889</v>
      </c>
      <c r="E53">
        <v>28.910266666666658</v>
      </c>
      <c r="F53">
        <v>712.04995601057556</v>
      </c>
      <c r="G53">
        <v>1.0283831516735942</v>
      </c>
      <c r="H53" s="1" t="s">
        <v>2</v>
      </c>
      <c r="I53" s="1" t="s">
        <v>133</v>
      </c>
      <c r="J53">
        <v>1</v>
      </c>
      <c r="K53">
        <f>(Alice_Master_Analysis_View[[#This Row],[Start_SoC]]-Alice_Master_Analysis_View[[#This Row],[End_SoC]])/100*val_capacity*val_elec_rate*val_charging_loss</f>
        <v>152.27420880000003</v>
      </c>
      <c r="L53" s="1">
        <f>(val_battery_cost / val_cycle) * (1 + (Alice_Master_Analysis_View[[#This Row],[Payload(lbs)]] / val_max_payload) * val_stress_factor)</f>
        <v>249.94783230691345</v>
      </c>
      <c r="M53" s="1">
        <f>(Alice_Master_Analysis_View[[#This Row],[Sortie_75_energy_OpEx]]+Alice_Master_Analysis_View[[#This Row],[Depreciation_OpEx]]+val_ground_ops)</f>
        <v>1602.2220411069134</v>
      </c>
      <c r="N53" s="1">
        <f>Alice_Master_Analysis_View[[#This Row],[Payload(lbs)]]*val_yield_rate</f>
        <v>1602.112401023795</v>
      </c>
      <c r="O53" s="1">
        <f>Alice_Master_Analysis_View[[#This Row],[Revenue]]-Alice_Master_Analysis_View[[#This Row],[Total_OpEx_75]]</f>
        <v>-0.10964008311839279</v>
      </c>
      <c r="P53" s="1">
        <f>Alice_Master_Analysis_View[[#This Row],[Net_Profit_75]]/Alice_Master_Analysis_View[[#This Row],[Revenue]]</f>
        <v>-6.8434700991222401E-5</v>
      </c>
      <c r="Q53" s="1">
        <f>(Alice_Master_Analysis_View[[#This Row],[Start_SoC]]-(Alice_Master_Analysis_View[[#This Row],[Start_SoC]]-Alice_Master_Analysis_View[[#This Row],[Avg_Burn_rate_per_min]]*60))/100*val_capacity*val_elec_rate*val_charging_loss</f>
        <v>121.81936704</v>
      </c>
      <c r="R53" s="1">
        <f>Alice_Master_Analysis_View[[#This Row],[Revenue]]*60/75-(Alice_Master_Analysis_View[[#This Row],[Depreciation_OpEx]]+Alice_Master_Analysis_View[[#This Row],[Sortie_60_energy_OpEx]]+val_ground_ops)</f>
        <v>-290.07727852787752</v>
      </c>
      <c r="S53" s="1">
        <f>Alice_Master_Analysis_View[[#This Row],[Net_Profit_60]]/Alice_Master_Analysis_View[[#This Row],[Revenue]]*(60/75)</f>
        <v>-0.14484740438561489</v>
      </c>
      <c r="T53" s="1">
        <f>(Alice_Master_Analysis_View[[#This Row],[Net_Profit_75]]-Alice_Master_Analysis_View[[#This Row],[Net_Profit_60]])/Alice_Master_Analysis_View[[#This Row],[Net_Profit_75]]</f>
        <v>-2644.7228987563153</v>
      </c>
      <c r="U53" s="1">
        <f>Alice_Master_Analysis_View[[#This Row],[Net_Profit_60]]/(Alice_Master_Analysis_View[[#This Row],[Start_SoC]]-Alice_Master_Analysis_View[[#This Row],[End_SoC]])/100*850</f>
        <v>-27.746981195450168</v>
      </c>
    </row>
    <row r="54" spans="1:21" x14ac:dyDescent="0.2">
      <c r="A54" s="1" t="s">
        <v>55</v>
      </c>
      <c r="B54">
        <v>99.06</v>
      </c>
      <c r="C54">
        <v>0</v>
      </c>
      <c r="D54">
        <v>1.3208</v>
      </c>
      <c r="E54">
        <v>20.751999999999995</v>
      </c>
      <c r="F54">
        <v>2160.2011261691741</v>
      </c>
      <c r="G54">
        <v>9.9434927714861967</v>
      </c>
      <c r="H54" s="1" t="s">
        <v>2</v>
      </c>
      <c r="I54" s="1" t="s">
        <v>133</v>
      </c>
      <c r="J54">
        <v>1</v>
      </c>
      <c r="K54">
        <f>(Alice_Master_Analysis_View[[#This Row],[Start_SoC]]-Alice_Master_Analysis_View[[#This Row],[End_SoC]])/100*val_capacity*val_elec_rate*val_charging_loss</f>
        <v>169.74921600000002</v>
      </c>
      <c r="L54" s="1">
        <f>(val_battery_cost / val_cycle) * (1 + (Alice_Master_Analysis_View[[#This Row],[Payload(lbs)]] / val_max_payload) * val_stress_factor)</f>
        <v>283.73802627728077</v>
      </c>
      <c r="M54" s="1">
        <f>(Alice_Master_Analysis_View[[#This Row],[Sortie_75_energy_OpEx]]+Alice_Master_Analysis_View[[#This Row],[Depreciation_OpEx]]+val_ground_ops)</f>
        <v>1653.4872422772808</v>
      </c>
      <c r="N54" s="1">
        <f>Alice_Master_Analysis_View[[#This Row],[Payload(lbs)]]*val_yield_rate</f>
        <v>4860.4525338806416</v>
      </c>
      <c r="O54" s="1">
        <f>Alice_Master_Analysis_View[[#This Row],[Revenue]]-Alice_Master_Analysis_View[[#This Row],[Total_OpEx_75]]</f>
        <v>3206.965291603361</v>
      </c>
      <c r="P54" s="1">
        <f>Alice_Master_Analysis_View[[#This Row],[Net_Profit_75]]/Alice_Master_Analysis_View[[#This Row],[Revenue]]</f>
        <v>0.65980796422733146</v>
      </c>
      <c r="Q54" s="1">
        <f>(Alice_Master_Analysis_View[[#This Row],[Start_SoC]]-(Alice_Master_Analysis_View[[#This Row],[Start_SoC]]-Alice_Master_Analysis_View[[#This Row],[Avg_Burn_rate_per_min]]*60))/100*val_capacity*val_elec_rate*val_charging_loss</f>
        <v>135.79937280000001</v>
      </c>
      <c r="R54" s="1">
        <f>Alice_Master_Analysis_View[[#This Row],[Revenue]]*60/75-(Alice_Master_Analysis_View[[#This Row],[Depreciation_OpEx]]+Alice_Master_Analysis_View[[#This Row],[Sortie_60_energy_OpEx]]+val_ground_ops)</f>
        <v>2268.8246280272324</v>
      </c>
      <c r="S54" s="1">
        <f>Alice_Master_Analysis_View[[#This Row],[Net_Profit_60]]/Alice_Master_Analysis_View[[#This Row],[Revenue]]*(60/75)</f>
        <v>0.37343430262297433</v>
      </c>
      <c r="T54" s="1">
        <f>(Alice_Master_Analysis_View[[#This Row],[Net_Profit_75]]-Alice_Master_Analysis_View[[#This Row],[Net_Profit_60]])/Alice_Master_Analysis_View[[#This Row],[Net_Profit_75]]</f>
        <v>0.29253221605871943</v>
      </c>
      <c r="U54" s="1">
        <f>Alice_Master_Analysis_View[[#This Row],[Net_Profit_60]]/(Alice_Master_Analysis_View[[#This Row],[Start_SoC]]-Alice_Master_Analysis_View[[#This Row],[End_SoC]])/100*850</f>
        <v>194.6800861925245</v>
      </c>
    </row>
    <row r="55" spans="1:21" x14ac:dyDescent="0.2">
      <c r="A55" s="1" t="s">
        <v>56</v>
      </c>
      <c r="B55">
        <v>99.120833333333337</v>
      </c>
      <c r="C55">
        <v>10.256833333333333</v>
      </c>
      <c r="D55">
        <v>1.1848533333333333</v>
      </c>
      <c r="E55">
        <v>28.908799999999999</v>
      </c>
      <c r="F55">
        <v>1659.5099419874286</v>
      </c>
      <c r="G55">
        <v>30.027319407963297</v>
      </c>
      <c r="H55" s="1" t="s">
        <v>2</v>
      </c>
      <c r="I55" s="1" t="s">
        <v>133</v>
      </c>
      <c r="J55">
        <v>1</v>
      </c>
      <c r="K55">
        <f>(Alice_Master_Analysis_View[[#This Row],[Start_SoC]]-Alice_Master_Analysis_View[[#This Row],[End_SoC]])/100*val_capacity*val_elec_rate*val_charging_loss</f>
        <v>152.27735040000002</v>
      </c>
      <c r="L55" s="1">
        <f>(val_battery_cost / val_cycle) * (1 + (Alice_Master_Analysis_View[[#This Row],[Payload(lbs)]] / val_max_payload) * val_stress_factor)</f>
        <v>272.05523197970672</v>
      </c>
      <c r="M55" s="1">
        <f>(Alice_Master_Analysis_View[[#This Row],[Sortie_75_energy_OpEx]]+Alice_Master_Analysis_View[[#This Row],[Depreciation_OpEx]]+val_ground_ops)</f>
        <v>1624.3325823797068</v>
      </c>
      <c r="N55" s="1">
        <f>Alice_Master_Analysis_View[[#This Row],[Payload(lbs)]]*val_yield_rate</f>
        <v>3733.8973694717142</v>
      </c>
      <c r="O55" s="1">
        <f>Alice_Master_Analysis_View[[#This Row],[Revenue]]-Alice_Master_Analysis_View[[#This Row],[Total_OpEx_75]]</f>
        <v>2109.5647870920075</v>
      </c>
      <c r="P55" s="1">
        <f>Alice_Master_Analysis_View[[#This Row],[Net_Profit_75]]/Alice_Master_Analysis_View[[#This Row],[Revenue]]</f>
        <v>0.56497663924557107</v>
      </c>
      <c r="Q55" s="1">
        <f>(Alice_Master_Analysis_View[[#This Row],[Start_SoC]]-(Alice_Master_Analysis_View[[#This Row],[Start_SoC]]-Alice_Master_Analysis_View[[#This Row],[Avg_Burn_rate_per_min]]*60))/100*val_capacity*val_elec_rate*val_charging_loss</f>
        <v>121.82188032000002</v>
      </c>
      <c r="R55" s="1">
        <f>Alice_Master_Analysis_View[[#This Row],[Revenue]]*60/75-(Alice_Master_Analysis_View[[#This Row],[Depreciation_OpEx]]+Alice_Master_Analysis_View[[#This Row],[Sortie_60_energy_OpEx]]+val_ground_ops)</f>
        <v>1393.2407832776648</v>
      </c>
      <c r="S55" s="1">
        <f>Alice_Master_Analysis_View[[#This Row],[Net_Profit_60]]/Alice_Master_Analysis_View[[#This Row],[Revenue]]*(60/75)</f>
        <v>0.29850649772407339</v>
      </c>
      <c r="T55" s="1">
        <f>(Alice_Master_Analysis_View[[#This Row],[Net_Profit_75]]-Alice_Master_Analysis_View[[#This Row],[Net_Profit_60]])/Alice_Master_Analysis_View[[#This Row],[Net_Profit_75]]</f>
        <v>0.33956008755805067</v>
      </c>
      <c r="U55" s="1">
        <f>Alice_Master_Analysis_View[[#This Row],[Net_Profit_60]]/(Alice_Master_Analysis_View[[#This Row],[Start_SoC]]-Alice_Master_Analysis_View[[#This Row],[End_SoC]])/100*850</f>
        <v>133.26596437095057</v>
      </c>
    </row>
    <row r="56" spans="1:21" x14ac:dyDescent="0.2">
      <c r="A56" s="1" t="s">
        <v>57</v>
      </c>
      <c r="B56">
        <v>99.054000000000002</v>
      </c>
      <c r="C56">
        <v>0</v>
      </c>
      <c r="D56">
        <v>1.3207200000000001</v>
      </c>
      <c r="E56">
        <v>20.756799999999998</v>
      </c>
      <c r="F56">
        <v>2315.4858243352619</v>
      </c>
      <c r="G56">
        <v>38.75520907459039</v>
      </c>
      <c r="H56" s="1" t="s">
        <v>2</v>
      </c>
      <c r="I56" s="1" t="s">
        <v>133</v>
      </c>
      <c r="J56">
        <v>1</v>
      </c>
      <c r="K56">
        <f>(Alice_Master_Analysis_View[[#This Row],[Start_SoC]]-Alice_Master_Analysis_View[[#This Row],[End_SoC]])/100*val_capacity*val_elec_rate*val_charging_loss</f>
        <v>169.73893440000001</v>
      </c>
      <c r="L56" s="1">
        <f>(val_battery_cost / val_cycle) * (1 + (Alice_Master_Analysis_View[[#This Row],[Payload(lbs)]] / val_max_payload) * val_stress_factor)</f>
        <v>287.36133590115611</v>
      </c>
      <c r="M56" s="1">
        <f>(Alice_Master_Analysis_View[[#This Row],[Sortie_75_energy_OpEx]]+Alice_Master_Analysis_View[[#This Row],[Depreciation_OpEx]]+val_ground_ops)</f>
        <v>1657.1002703011561</v>
      </c>
      <c r="N56" s="1">
        <f>Alice_Master_Analysis_View[[#This Row],[Payload(lbs)]]*val_yield_rate</f>
        <v>5209.843104754339</v>
      </c>
      <c r="O56" s="1">
        <f>Alice_Master_Analysis_View[[#This Row],[Revenue]]-Alice_Master_Analysis_View[[#This Row],[Total_OpEx_75]]</f>
        <v>3552.7428344531827</v>
      </c>
      <c r="P56" s="1">
        <f>Alice_Master_Analysis_View[[#This Row],[Net_Profit_75]]/Alice_Master_Analysis_View[[#This Row],[Revenue]]</f>
        <v>0.68192894930195902</v>
      </c>
      <c r="Q56" s="1">
        <f>(Alice_Master_Analysis_View[[#This Row],[Start_SoC]]-(Alice_Master_Analysis_View[[#This Row],[Start_SoC]]-Alice_Master_Analysis_View[[#This Row],[Avg_Burn_rate_per_min]]*60))/100*val_capacity*val_elec_rate*val_charging_loss</f>
        <v>135.79114752000001</v>
      </c>
      <c r="R56" s="1">
        <f>Alice_Master_Analysis_View[[#This Row],[Revenue]]*60/75-(Alice_Master_Analysis_View[[#This Row],[Depreciation_OpEx]]+Alice_Master_Analysis_View[[#This Row],[Sortie_60_energy_OpEx]]+val_ground_ops)</f>
        <v>2544.7220003823149</v>
      </c>
      <c r="S56" s="1">
        <f>Alice_Master_Analysis_View[[#This Row],[Net_Profit_60]]/Alice_Master_Analysis_View[[#This Row],[Revenue]]*(60/75)</f>
        <v>0.39075602842013907</v>
      </c>
      <c r="T56" s="1">
        <f>(Alice_Master_Analysis_View[[#This Row],[Net_Profit_75]]-Alice_Master_Analysis_View[[#This Row],[Net_Profit_60]])/Alice_Master_Analysis_View[[#This Row],[Net_Profit_75]]</f>
        <v>0.28373031233655738</v>
      </c>
      <c r="U56" s="1">
        <f>Alice_Master_Analysis_View[[#This Row],[Net_Profit_60]]/(Alice_Master_Analysis_View[[#This Row],[Start_SoC]]-Alice_Master_Analysis_View[[#This Row],[End_SoC]])/100*850</f>
        <v>218.36712301623032</v>
      </c>
    </row>
    <row r="57" spans="1:21" x14ac:dyDescent="0.2">
      <c r="A57" s="1" t="s">
        <v>58</v>
      </c>
      <c r="B57">
        <v>99.165333333333336</v>
      </c>
      <c r="C57">
        <v>12.506</v>
      </c>
      <c r="D57">
        <v>1.1554577777777779</v>
      </c>
      <c r="E57">
        <v>30.67253333333332</v>
      </c>
      <c r="F57">
        <v>642.16001010192406</v>
      </c>
      <c r="G57">
        <v>14.177147377041187</v>
      </c>
      <c r="H57" s="1" t="s">
        <v>5</v>
      </c>
      <c r="I57" s="1" t="s">
        <v>133</v>
      </c>
      <c r="J57">
        <v>1</v>
      </c>
      <c r="K57">
        <f>(Alice_Master_Analysis_View[[#This Row],[Start_SoC]]-Alice_Master_Analysis_View[[#This Row],[End_SoC]])/100*val_capacity*val_elec_rate*val_charging_loss</f>
        <v>148.4994336</v>
      </c>
      <c r="L57" s="1">
        <f>(val_battery_cost / val_cycle) * (1 + (Alice_Master_Analysis_View[[#This Row],[Payload(lbs)]] / val_max_payload) * val_stress_factor)</f>
        <v>248.31706690237823</v>
      </c>
      <c r="M57" s="1">
        <f>(Alice_Master_Analysis_View[[#This Row],[Sortie_75_energy_OpEx]]+Alice_Master_Analysis_View[[#This Row],[Depreciation_OpEx]]+val_ground_ops)</f>
        <v>1596.8165005023782</v>
      </c>
      <c r="N57" s="1">
        <f>Alice_Master_Analysis_View[[#This Row],[Payload(lbs)]]*val_yield_rate</f>
        <v>1444.8600227293291</v>
      </c>
      <c r="O57" s="1">
        <f>Alice_Master_Analysis_View[[#This Row],[Revenue]]-Alice_Master_Analysis_View[[#This Row],[Total_OpEx_75]]</f>
        <v>-151.95647777304907</v>
      </c>
      <c r="P57" s="1">
        <f>Alice_Master_Analysis_View[[#This Row],[Net_Profit_75]]/Alice_Master_Analysis_View[[#This Row],[Revenue]]</f>
        <v>-0.10517038009398619</v>
      </c>
      <c r="Q57" s="1">
        <f>(Alice_Master_Analysis_View[[#This Row],[Start_SoC]]-(Alice_Master_Analysis_View[[#This Row],[Start_SoC]]-Alice_Master_Analysis_View[[#This Row],[Avg_Burn_rate_per_min]]*60))/100*val_capacity*val_elec_rate*val_charging_loss</f>
        <v>118.79954688000002</v>
      </c>
      <c r="R57" s="1">
        <f>Alice_Master_Analysis_View[[#This Row],[Revenue]]*60/75-(Alice_Master_Analysis_View[[#This Row],[Depreciation_OpEx]]+Alice_Master_Analysis_View[[#This Row],[Sortie_60_energy_OpEx]]+val_ground_ops)</f>
        <v>-411.22859559891481</v>
      </c>
      <c r="S57" s="1">
        <f>Alice_Master_Analysis_View[[#This Row],[Net_Profit_60]]/Alice_Master_Analysis_View[[#This Row],[Revenue]]*(60/75)</f>
        <v>-0.22769186724239612</v>
      </c>
      <c r="T57" s="1">
        <f>(Alice_Master_Analysis_View[[#This Row],[Net_Profit_75]]-Alice_Master_Analysis_View[[#This Row],[Net_Profit_60]])/Alice_Master_Analysis_View[[#This Row],[Net_Profit_75]]</f>
        <v>-1.7062261617638659</v>
      </c>
      <c r="U57" s="1">
        <f>Alice_Master_Analysis_View[[#This Row],[Net_Profit_60]]/(Alice_Master_Analysis_View[[#This Row],[Start_SoC]]-Alice_Master_Analysis_View[[#This Row],[End_SoC]])/100*850</f>
        <v>-40.335448337060548</v>
      </c>
    </row>
    <row r="58" spans="1:21" x14ac:dyDescent="0.2">
      <c r="A58" s="1" t="s">
        <v>59</v>
      </c>
      <c r="B58">
        <v>99.036833333333334</v>
      </c>
      <c r="C58">
        <v>0</v>
      </c>
      <c r="D58">
        <v>1.3204911111111111</v>
      </c>
      <c r="E58">
        <v>20.770533333333333</v>
      </c>
      <c r="F58">
        <v>2315.0995202002964</v>
      </c>
      <c r="G58">
        <v>5.4502067461383854</v>
      </c>
      <c r="H58" s="1" t="s">
        <v>2</v>
      </c>
      <c r="I58" s="1" t="s">
        <v>133</v>
      </c>
      <c r="J58">
        <v>1</v>
      </c>
      <c r="K58">
        <f>(Alice_Master_Analysis_View[[#This Row],[Start_SoC]]-Alice_Master_Analysis_View[[#This Row],[End_SoC]])/100*val_capacity*val_elec_rate*val_charging_loss</f>
        <v>169.7095176</v>
      </c>
      <c r="L58" s="1">
        <f>(val_battery_cost / val_cycle) * (1 + (Alice_Master_Analysis_View[[#This Row],[Payload(lbs)]] / val_max_payload) * val_stress_factor)</f>
        <v>287.35232213800691</v>
      </c>
      <c r="M58" s="1">
        <f>(Alice_Master_Analysis_View[[#This Row],[Sortie_75_energy_OpEx]]+Alice_Master_Analysis_View[[#This Row],[Depreciation_OpEx]]+val_ground_ops)</f>
        <v>1657.0618397380069</v>
      </c>
      <c r="N58" s="1">
        <f>Alice_Master_Analysis_View[[#This Row],[Payload(lbs)]]*val_yield_rate</f>
        <v>5208.9739204506668</v>
      </c>
      <c r="O58" s="1">
        <f>Alice_Master_Analysis_View[[#This Row],[Revenue]]-Alice_Master_Analysis_View[[#This Row],[Total_OpEx_75]]</f>
        <v>3551.9120807126601</v>
      </c>
      <c r="P58" s="1">
        <f>Alice_Master_Analysis_View[[#This Row],[Net_Profit_75]]/Alice_Master_Analysis_View[[#This Row],[Revenue]]</f>
        <v>0.68188325281639306</v>
      </c>
      <c r="Q58" s="1">
        <f>(Alice_Master_Analysis_View[[#This Row],[Start_SoC]]-(Alice_Master_Analysis_View[[#This Row],[Start_SoC]]-Alice_Master_Analysis_View[[#This Row],[Avg_Burn_rate_per_min]]*60))/100*val_capacity*val_elec_rate*val_charging_loss</f>
        <v>135.76761408000002</v>
      </c>
      <c r="R58" s="1">
        <f>Alice_Master_Analysis_View[[#This Row],[Revenue]]*60/75-(Alice_Master_Analysis_View[[#This Row],[Depreciation_OpEx]]+Alice_Master_Analysis_View[[#This Row],[Sortie_60_energy_OpEx]]+val_ground_ops)</f>
        <v>2544.0592001425266</v>
      </c>
      <c r="S58" s="1">
        <f>Alice_Master_Analysis_View[[#This Row],[Net_Profit_60]]/Alice_Master_Analysis_View[[#This Row],[Revenue]]*(60/75)</f>
        <v>0.39071943749296734</v>
      </c>
      <c r="T58" s="1">
        <f>(Alice_Master_Analysis_View[[#This Row],[Net_Profit_75]]-Alice_Master_Analysis_View[[#This Row],[Net_Profit_60]])/Alice_Master_Analysis_View[[#This Row],[Net_Profit_75]]</f>
        <v>0.28374938840488323</v>
      </c>
      <c r="U58" s="1">
        <f>Alice_Master_Analysis_View[[#This Row],[Net_Profit_60]]/(Alice_Master_Analysis_View[[#This Row],[Start_SoC]]-Alice_Master_Analysis_View[[#This Row],[End_SoC]])/100*850</f>
        <v>218.34808801316154</v>
      </c>
    </row>
    <row r="59" spans="1:21" x14ac:dyDescent="0.2">
      <c r="A59" s="1" t="s">
        <v>60</v>
      </c>
      <c r="B59">
        <v>99.102666666666664</v>
      </c>
      <c r="C59">
        <v>10.081333333333333</v>
      </c>
      <c r="D59">
        <v>1.1869511111111111</v>
      </c>
      <c r="E59">
        <v>28.782933333333332</v>
      </c>
      <c r="F59">
        <v>1321.2434711517606</v>
      </c>
      <c r="G59">
        <v>42.652922344739061</v>
      </c>
      <c r="H59" s="1" t="s">
        <v>5</v>
      </c>
      <c r="I59" s="1" t="s">
        <v>133</v>
      </c>
      <c r="J59">
        <v>1</v>
      </c>
      <c r="K59">
        <f>(Alice_Master_Analysis_View[[#This Row],[Start_SoC]]-Alice_Master_Analysis_View[[#This Row],[End_SoC]])/100*val_capacity*val_elec_rate*val_charging_loss</f>
        <v>152.5469568</v>
      </c>
      <c r="L59" s="1">
        <f>(val_battery_cost / val_cycle) * (1 + (Alice_Master_Analysis_View[[#This Row],[Payload(lbs)]] / val_max_payload) * val_stress_factor)</f>
        <v>264.16234766020779</v>
      </c>
      <c r="M59" s="1">
        <f>(Alice_Master_Analysis_View[[#This Row],[Sortie_75_energy_OpEx]]+Alice_Master_Analysis_View[[#This Row],[Depreciation_OpEx]]+val_ground_ops)</f>
        <v>1616.7093044602079</v>
      </c>
      <c r="N59" s="1">
        <f>Alice_Master_Analysis_View[[#This Row],[Payload(lbs)]]*val_yield_rate</f>
        <v>2972.7978100914611</v>
      </c>
      <c r="O59" s="1">
        <f>Alice_Master_Analysis_View[[#This Row],[Revenue]]-Alice_Master_Analysis_View[[#This Row],[Total_OpEx_75]]</f>
        <v>1356.0885056312532</v>
      </c>
      <c r="P59" s="1">
        <f>Alice_Master_Analysis_View[[#This Row],[Net_Profit_75]]/Alice_Master_Analysis_View[[#This Row],[Revenue]]</f>
        <v>0.45616573755129741</v>
      </c>
      <c r="Q59" s="1">
        <f>(Alice_Master_Analysis_View[[#This Row],[Start_SoC]]-(Alice_Master_Analysis_View[[#This Row],[Start_SoC]]-Alice_Master_Analysis_View[[#This Row],[Avg_Burn_rate_per_min]]*60))/100*val_capacity*val_elec_rate*val_charging_loss</f>
        <v>122.03756544000002</v>
      </c>
      <c r="R59" s="1">
        <f>Alice_Master_Analysis_View[[#This Row],[Revenue]]*60/75-(Alice_Master_Analysis_View[[#This Row],[Depreciation_OpEx]]+Alice_Master_Analysis_View[[#This Row],[Sortie_60_energy_OpEx]]+val_ground_ops)</f>
        <v>792.03833497296114</v>
      </c>
      <c r="S59" s="1">
        <f>Alice_Master_Analysis_View[[#This Row],[Net_Profit_60]]/Alice_Master_Analysis_View[[#This Row],[Revenue]]*(60/75)</f>
        <v>0.21314287363487888</v>
      </c>
      <c r="T59" s="1">
        <f>(Alice_Master_Analysis_View[[#This Row],[Net_Profit_75]]-Alice_Master_Analysis_View[[#This Row],[Net_Profit_60]])/Alice_Master_Analysis_View[[#This Row],[Net_Profit_75]]</f>
        <v>0.41593905435820294</v>
      </c>
      <c r="U59" s="1">
        <f>Alice_Master_Analysis_View[[#This Row],[Net_Profit_60]]/(Alice_Master_Analysis_View[[#This Row],[Start_SoC]]-Alice_Master_Analysis_View[[#This Row],[End_SoC]])/100*850</f>
        <v>75.625983067019547</v>
      </c>
    </row>
    <row r="60" spans="1:21" x14ac:dyDescent="0.2">
      <c r="A60" s="1" t="s">
        <v>61</v>
      </c>
      <c r="B60">
        <v>99.07716666666667</v>
      </c>
      <c r="C60">
        <v>0</v>
      </c>
      <c r="D60">
        <v>1.321028888888889</v>
      </c>
      <c r="E60">
        <v>20.738266666666661</v>
      </c>
      <c r="F60">
        <v>2126.7741487579851</v>
      </c>
      <c r="G60">
        <v>14.819042770827528</v>
      </c>
      <c r="H60" s="1" t="s">
        <v>2</v>
      </c>
      <c r="I60" s="1" t="s">
        <v>133</v>
      </c>
      <c r="J60">
        <v>1</v>
      </c>
      <c r="K60">
        <f>(Alice_Master_Analysis_View[[#This Row],[Start_SoC]]-Alice_Master_Analysis_View[[#This Row],[End_SoC]])/100*val_capacity*val_elec_rate*val_charging_loss</f>
        <v>169.77863280000003</v>
      </c>
      <c r="L60" s="1">
        <f>(val_battery_cost / val_cycle) * (1 + (Alice_Master_Analysis_View[[#This Row],[Payload(lbs)]] / val_max_payload) * val_stress_factor)</f>
        <v>282.95806347101967</v>
      </c>
      <c r="M60" s="1">
        <f>(Alice_Master_Analysis_View[[#This Row],[Sortie_75_energy_OpEx]]+Alice_Master_Analysis_View[[#This Row],[Depreciation_OpEx]]+val_ground_ops)</f>
        <v>1652.7366962710198</v>
      </c>
      <c r="N60" s="1">
        <f>Alice_Master_Analysis_View[[#This Row],[Payload(lbs)]]*val_yield_rate</f>
        <v>4785.2418347054663</v>
      </c>
      <c r="O60" s="1">
        <f>Alice_Master_Analysis_View[[#This Row],[Revenue]]-Alice_Master_Analysis_View[[#This Row],[Total_OpEx_75]]</f>
        <v>3132.5051384344465</v>
      </c>
      <c r="P60" s="1">
        <f>Alice_Master_Analysis_View[[#This Row],[Net_Profit_75]]/Alice_Master_Analysis_View[[#This Row],[Revenue]]</f>
        <v>0.65461793711565963</v>
      </c>
      <c r="Q60" s="1">
        <f>(Alice_Master_Analysis_View[[#This Row],[Start_SoC]]-(Alice_Master_Analysis_View[[#This Row],[Start_SoC]]-Alice_Master_Analysis_View[[#This Row],[Avg_Burn_rate_per_min]]*60))/100*val_capacity*val_elec_rate*val_charging_loss</f>
        <v>135.82290624000001</v>
      </c>
      <c r="R60" s="1">
        <f>Alice_Master_Analysis_View[[#This Row],[Revenue]]*60/75-(Alice_Master_Analysis_View[[#This Row],[Depreciation_OpEx]]+Alice_Master_Analysis_View[[#This Row],[Sortie_60_energy_OpEx]]+val_ground_ops)</f>
        <v>2209.4124980533534</v>
      </c>
      <c r="S60" s="1">
        <f>Alice_Master_Analysis_View[[#This Row],[Net_Profit_60]]/Alice_Master_Analysis_View[[#This Row],[Revenue]]*(60/75)</f>
        <v>0.36937109126303436</v>
      </c>
      <c r="T60" s="1">
        <f>(Alice_Master_Analysis_View[[#This Row],[Net_Profit_75]]-Alice_Master_Analysis_View[[#This Row],[Net_Profit_60]])/Alice_Master_Analysis_View[[#This Row],[Net_Profit_75]]</f>
        <v>0.29468192375972718</v>
      </c>
      <c r="U60" s="1">
        <f>Alice_Master_Analysis_View[[#This Row],[Net_Profit_60]]/(Alice_Master_Analysis_View[[#This Row],[Start_SoC]]-Alice_Master_Analysis_View[[#This Row],[End_SoC]])/100*850</f>
        <v>189.54928633190127</v>
      </c>
    </row>
    <row r="61" spans="1:21" x14ac:dyDescent="0.2">
      <c r="A61" s="1" t="s">
        <v>62</v>
      </c>
      <c r="B61">
        <v>99.121333333333325</v>
      </c>
      <c r="C61">
        <v>10.315833333333334</v>
      </c>
      <c r="D61">
        <v>1.1840733333333333</v>
      </c>
      <c r="E61">
        <v>28.955600000000004</v>
      </c>
      <c r="F61">
        <v>1274.8199099589272</v>
      </c>
      <c r="G61">
        <v>37.576732897234173</v>
      </c>
      <c r="H61" s="1" t="s">
        <v>2</v>
      </c>
      <c r="I61" s="1" t="s">
        <v>133</v>
      </c>
      <c r="J61">
        <v>1</v>
      </c>
      <c r="K61">
        <f>(Alice_Master_Analysis_View[[#This Row],[Start_SoC]]-Alice_Master_Analysis_View[[#This Row],[End_SoC]])/100*val_capacity*val_elec_rate*val_charging_loss</f>
        <v>152.1771048</v>
      </c>
      <c r="L61" s="1">
        <f>(val_battery_cost / val_cycle) * (1 + (Alice_Master_Analysis_View[[#This Row],[Payload(lbs)]] / val_max_payload) * val_stress_factor)</f>
        <v>263.07913123237495</v>
      </c>
      <c r="M61" s="1">
        <f>(Alice_Master_Analysis_View[[#This Row],[Sortie_75_energy_OpEx]]+Alice_Master_Analysis_View[[#This Row],[Depreciation_OpEx]]+val_ground_ops)</f>
        <v>1615.256236032375</v>
      </c>
      <c r="N61" s="1">
        <f>Alice_Master_Analysis_View[[#This Row],[Payload(lbs)]]*val_yield_rate</f>
        <v>2868.3447974075862</v>
      </c>
      <c r="O61" s="1">
        <f>Alice_Master_Analysis_View[[#This Row],[Revenue]]-Alice_Master_Analysis_View[[#This Row],[Total_OpEx_75]]</f>
        <v>1253.0885613752112</v>
      </c>
      <c r="P61" s="1">
        <f>Alice_Master_Analysis_View[[#This Row],[Net_Profit_75]]/Alice_Master_Analysis_View[[#This Row],[Revenue]]</f>
        <v>0.43686817655525734</v>
      </c>
      <c r="Q61" s="1">
        <f>(Alice_Master_Analysis_View[[#This Row],[Start_SoC]]-(Alice_Master_Analysis_View[[#This Row],[Start_SoC]]-Alice_Master_Analysis_View[[#This Row],[Avg_Burn_rate_per_min]]*60))/100*val_capacity*val_elec_rate*val_charging_loss</f>
        <v>121.74168384000001</v>
      </c>
      <c r="R61" s="1">
        <f>Alice_Master_Analysis_View[[#This Row],[Revenue]]*60/75-(Alice_Master_Analysis_View[[#This Row],[Depreciation_OpEx]]+Alice_Master_Analysis_View[[#This Row],[Sortie_60_energy_OpEx]]+val_ground_ops)</f>
        <v>709.85502285369421</v>
      </c>
      <c r="S61" s="1">
        <f>Alice_Master_Analysis_View[[#This Row],[Net_Profit_60]]/Alice_Master_Analysis_View[[#This Row],[Revenue]]*(60/75)</f>
        <v>0.19798317789277275</v>
      </c>
      <c r="T61" s="1">
        <f>(Alice_Master_Analysis_View[[#This Row],[Net_Profit_75]]-Alice_Master_Analysis_View[[#This Row],[Net_Profit_60]])/Alice_Master_Analysis_View[[#This Row],[Net_Profit_75]]</f>
        <v>0.43351567899186738</v>
      </c>
      <c r="U61" s="1">
        <f>Alice_Master_Analysis_View[[#This Row],[Net_Profit_60]]/(Alice_Master_Analysis_View[[#This Row],[Start_SoC]]-Alice_Master_Analysis_View[[#This Row],[End_SoC]])/100*850</f>
        <v>67.943626174689641</v>
      </c>
    </row>
    <row r="62" spans="1:21" x14ac:dyDescent="0.2">
      <c r="A62" s="1" t="s">
        <v>63</v>
      </c>
      <c r="B62">
        <v>99.104333333333344</v>
      </c>
      <c r="C62">
        <v>10.237833333333333</v>
      </c>
      <c r="D62">
        <v>1.1848866666666669</v>
      </c>
      <c r="E62">
        <v>28.90679999999999</v>
      </c>
      <c r="F62">
        <v>697.02747509124038</v>
      </c>
      <c r="G62">
        <v>-4.738867421989613</v>
      </c>
      <c r="H62" s="1" t="s">
        <v>2</v>
      </c>
      <c r="I62" s="1" t="s">
        <v>133</v>
      </c>
      <c r="J62">
        <v>1</v>
      </c>
      <c r="K62">
        <f>(Alice_Master_Analysis_View[[#This Row],[Start_SoC]]-Alice_Master_Analysis_View[[#This Row],[End_SoC]])/100*val_capacity*val_elec_rate*val_charging_loss</f>
        <v>152.28163440000006</v>
      </c>
      <c r="L62" s="1">
        <f>(val_battery_cost / val_cycle) * (1 + (Alice_Master_Analysis_View[[#This Row],[Payload(lbs)]] / val_max_payload) * val_stress_factor)</f>
        <v>249.59730775212896</v>
      </c>
      <c r="M62" s="1">
        <f>(Alice_Master_Analysis_View[[#This Row],[Sortie_75_energy_OpEx]]+Alice_Master_Analysis_View[[#This Row],[Depreciation_OpEx]]+val_ground_ops)</f>
        <v>1601.878942152129</v>
      </c>
      <c r="N62" s="1">
        <f>Alice_Master_Analysis_View[[#This Row],[Payload(lbs)]]*val_yield_rate</f>
        <v>1568.3118189552908</v>
      </c>
      <c r="O62" s="1">
        <f>Alice_Master_Analysis_View[[#This Row],[Revenue]]-Alice_Master_Analysis_View[[#This Row],[Total_OpEx_75]]</f>
        <v>-33.567123196838111</v>
      </c>
      <c r="P62" s="1">
        <f>Alice_Master_Analysis_View[[#This Row],[Net_Profit_75]]/Alice_Master_Analysis_View[[#This Row],[Revenue]]</f>
        <v>-2.1403347721499915E-2</v>
      </c>
      <c r="Q62" s="1">
        <f>(Alice_Master_Analysis_View[[#This Row],[Start_SoC]]-(Alice_Master_Analysis_View[[#This Row],[Start_SoC]]-Alice_Master_Analysis_View[[#This Row],[Avg_Burn_rate_per_min]]*60))/100*val_capacity*val_elec_rate*val_charging_loss</f>
        <v>121.82530752000002</v>
      </c>
      <c r="R62" s="1">
        <f>Alice_Master_Analysis_View[[#This Row],[Revenue]]*60/75-(Alice_Master_Analysis_View[[#This Row],[Depreciation_OpEx]]+Alice_Master_Analysis_View[[#This Row],[Sortie_60_energy_OpEx]]+val_ground_ops)</f>
        <v>-316.77316010789627</v>
      </c>
      <c r="S62" s="1">
        <f>Alice_Master_Analysis_View[[#This Row],[Net_Profit_60]]/Alice_Master_Analysis_View[[#This Row],[Revenue]]*(60/75)</f>
        <v>-0.16158682541532352</v>
      </c>
      <c r="T62" s="1">
        <f>(Alice_Master_Analysis_View[[#This Row],[Net_Profit_75]]-Alice_Master_Analysis_View[[#This Row],[Net_Profit_60]])/Alice_Master_Analysis_View[[#This Row],[Net_Profit_75]]</f>
        <v>-8.4370065093256201</v>
      </c>
      <c r="U62" s="1">
        <f>Alice_Master_Analysis_View[[#This Row],[Net_Profit_60]]/(Alice_Master_Analysis_View[[#This Row],[Start_SoC]]-Alice_Master_Analysis_View[[#This Row],[End_SoC]])/100*850</f>
        <v>-30.299065012317552</v>
      </c>
    </row>
    <row r="63" spans="1:21" x14ac:dyDescent="0.2">
      <c r="A63" s="1" t="s">
        <v>64</v>
      </c>
      <c r="B63">
        <v>99.063833333333335</v>
      </c>
      <c r="C63">
        <v>0</v>
      </c>
      <c r="D63">
        <v>1.3208511111111112</v>
      </c>
      <c r="E63">
        <v>20.748933333333326</v>
      </c>
      <c r="F63">
        <v>2267.0073298249195</v>
      </c>
      <c r="G63">
        <v>13.364817517221844</v>
      </c>
      <c r="H63" s="1" t="s">
        <v>5</v>
      </c>
      <c r="I63" s="1" t="s">
        <v>133</v>
      </c>
      <c r="J63">
        <v>1</v>
      </c>
      <c r="K63">
        <f>(Alice_Master_Analysis_View[[#This Row],[Start_SoC]]-Alice_Master_Analysis_View[[#This Row],[End_SoC]])/100*val_capacity*val_elec_rate*val_charging_loss</f>
        <v>169.75578480000001</v>
      </c>
      <c r="L63" s="1">
        <f>(val_battery_cost / val_cycle) * (1 + (Alice_Master_Analysis_View[[#This Row],[Payload(lbs)]] / val_max_payload) * val_stress_factor)</f>
        <v>286.23017102924814</v>
      </c>
      <c r="M63" s="1">
        <f>(Alice_Master_Analysis_View[[#This Row],[Sortie_75_energy_OpEx]]+Alice_Master_Analysis_View[[#This Row],[Depreciation_OpEx]]+val_ground_ops)</f>
        <v>1655.9859558292483</v>
      </c>
      <c r="N63" s="1">
        <f>Alice_Master_Analysis_View[[#This Row],[Payload(lbs)]]*val_yield_rate</f>
        <v>5100.7664921060687</v>
      </c>
      <c r="O63" s="1">
        <f>Alice_Master_Analysis_View[[#This Row],[Revenue]]-Alice_Master_Analysis_View[[#This Row],[Total_OpEx_75]]</f>
        <v>3444.7805362768204</v>
      </c>
      <c r="P63" s="1">
        <f>Alice_Master_Analysis_View[[#This Row],[Net_Profit_75]]/Alice_Master_Analysis_View[[#This Row],[Revenue]]</f>
        <v>0.67534566454040834</v>
      </c>
      <c r="Q63" s="1">
        <f>(Alice_Master_Analysis_View[[#This Row],[Start_SoC]]-(Alice_Master_Analysis_View[[#This Row],[Start_SoC]]-Alice_Master_Analysis_View[[#This Row],[Avg_Burn_rate_per_min]]*60))/100*val_capacity*val_elec_rate*val_charging_loss</f>
        <v>135.80462784000002</v>
      </c>
      <c r="R63" s="1">
        <f>Alice_Master_Analysis_View[[#This Row],[Revenue]]*60/75-(Alice_Master_Analysis_View[[#This Row],[Depreciation_OpEx]]+Alice_Master_Analysis_View[[#This Row],[Sortie_60_energy_OpEx]]+val_ground_ops)</f>
        <v>2458.5783948156068</v>
      </c>
      <c r="S63" s="1">
        <f>Alice_Master_Analysis_View[[#This Row],[Net_Profit_60]]/Alice_Master_Analysis_View[[#This Row],[Revenue]]*(60/75)</f>
        <v>0.38560140302372137</v>
      </c>
      <c r="T63" s="1">
        <f>(Alice_Master_Analysis_View[[#This Row],[Net_Profit_75]]-Alice_Master_Analysis_View[[#This Row],[Net_Profit_60]])/Alice_Master_Analysis_View[[#This Row],[Net_Profit_75]]</f>
        <v>0.28628881610179974</v>
      </c>
      <c r="U63" s="1">
        <f>Alice_Master_Analysis_View[[#This Row],[Net_Profit_60]]/(Alice_Master_Analysis_View[[#This Row],[Start_SoC]]-Alice_Master_Analysis_View[[#This Row],[End_SoC]])/100*850</f>
        <v>210.95404501070175</v>
      </c>
    </row>
    <row r="64" spans="1:21" x14ac:dyDescent="0.2">
      <c r="A64" s="1" t="s">
        <v>65</v>
      </c>
      <c r="B64">
        <v>99.164166666666674</v>
      </c>
      <c r="C64">
        <v>12.326666666666666</v>
      </c>
      <c r="D64">
        <v>1.1578333333333335</v>
      </c>
      <c r="E64">
        <v>30.529999999999987</v>
      </c>
      <c r="F64">
        <v>538.20179053801326</v>
      </c>
      <c r="G64">
        <v>11.69742889815682</v>
      </c>
      <c r="H64" s="1" t="s">
        <v>2</v>
      </c>
      <c r="I64" s="1" t="s">
        <v>133</v>
      </c>
      <c r="J64">
        <v>1</v>
      </c>
      <c r="K64">
        <f>(Alice_Master_Analysis_View[[#This Row],[Start_SoC]]-Alice_Master_Analysis_View[[#This Row],[End_SoC]])/100*val_capacity*val_elec_rate*val_charging_loss</f>
        <v>148.80473999999998</v>
      </c>
      <c r="L64" s="1">
        <f>(val_battery_cost / val_cycle) * (1 + (Alice_Master_Analysis_View[[#This Row],[Payload(lbs)]] / val_max_payload) * val_stress_factor)</f>
        <v>245.89137511255365</v>
      </c>
      <c r="M64" s="1">
        <f>(Alice_Master_Analysis_View[[#This Row],[Sortie_75_energy_OpEx]]+Alice_Master_Analysis_View[[#This Row],[Depreciation_OpEx]]+val_ground_ops)</f>
        <v>1594.6961151125536</v>
      </c>
      <c r="N64" s="1">
        <f>Alice_Master_Analysis_View[[#This Row],[Payload(lbs)]]*val_yield_rate</f>
        <v>1210.9540287105299</v>
      </c>
      <c r="O64" s="1">
        <f>Alice_Master_Analysis_View[[#This Row],[Revenue]]-Alice_Master_Analysis_View[[#This Row],[Total_OpEx_75]]</f>
        <v>-383.74208640202369</v>
      </c>
      <c r="P64" s="1">
        <f>Alice_Master_Analysis_View[[#This Row],[Net_Profit_75]]/Alice_Master_Analysis_View[[#This Row],[Revenue]]</f>
        <v>-0.31689236527884296</v>
      </c>
      <c r="Q64" s="1">
        <f>(Alice_Master_Analysis_View[[#This Row],[Start_SoC]]-(Alice_Master_Analysis_View[[#This Row],[Start_SoC]]-Alice_Master_Analysis_View[[#This Row],[Avg_Burn_rate_per_min]]*60))/100*val_capacity*val_elec_rate*val_charging_loss</f>
        <v>119.04379200000004</v>
      </c>
      <c r="R64" s="1">
        <f>Alice_Master_Analysis_View[[#This Row],[Revenue]]*60/75-(Alice_Master_Analysis_View[[#This Row],[Depreciation_OpEx]]+Alice_Master_Analysis_View[[#This Row],[Sortie_60_energy_OpEx]]+val_ground_ops)</f>
        <v>-596.17194414412984</v>
      </c>
      <c r="S64" s="1">
        <f>Alice_Master_Analysis_View[[#This Row],[Net_Profit_60]]/Alice_Master_Analysis_View[[#This Row],[Revenue]]*(60/75)</f>
        <v>-0.39385273429674722</v>
      </c>
      <c r="T64" s="1">
        <f>(Alice_Master_Analysis_View[[#This Row],[Net_Profit_75]]-Alice_Master_Analysis_View[[#This Row],[Net_Profit_60]])/Alice_Master_Analysis_View[[#This Row],[Net_Profit_75]]</f>
        <v>-0.55357456288898177</v>
      </c>
      <c r="U64" s="1">
        <f>Alice_Master_Analysis_View[[#This Row],[Net_Profit_60]]/(Alice_Master_Analysis_View[[#This Row],[Start_SoC]]-Alice_Master_Analysis_View[[#This Row],[End_SoC]])/100*850</f>
        <v>-58.355681879661475</v>
      </c>
    </row>
    <row r="65" spans="1:21" x14ac:dyDescent="0.2">
      <c r="A65" s="1" t="s">
        <v>66</v>
      </c>
      <c r="B65">
        <v>99.106999999999999</v>
      </c>
      <c r="C65">
        <v>10.569666666666667</v>
      </c>
      <c r="D65">
        <v>1.1804977777777779</v>
      </c>
      <c r="E65">
        <v>29.170133333333325</v>
      </c>
      <c r="F65">
        <v>1375.2786294074422</v>
      </c>
      <c r="G65">
        <v>40.32979151348934</v>
      </c>
      <c r="H65" s="1" t="s">
        <v>5</v>
      </c>
      <c r="I65" s="1" t="s">
        <v>133</v>
      </c>
      <c r="J65">
        <v>1</v>
      </c>
      <c r="K65">
        <f>(Alice_Master_Analysis_View[[#This Row],[Start_SoC]]-Alice_Master_Analysis_View[[#This Row],[End_SoC]])/100*val_capacity*val_elec_rate*val_charging_loss</f>
        <v>151.71757440000002</v>
      </c>
      <c r="L65" s="1">
        <f>(val_battery_cost / val_cycle) * (1 + (Alice_Master_Analysis_View[[#This Row],[Payload(lbs)]] / val_max_payload) * val_stress_factor)</f>
        <v>265.42316801950699</v>
      </c>
      <c r="M65" s="1">
        <f>(Alice_Master_Analysis_View[[#This Row],[Sortie_75_energy_OpEx]]+Alice_Master_Analysis_View[[#This Row],[Depreciation_OpEx]]+val_ground_ops)</f>
        <v>1617.140742419507</v>
      </c>
      <c r="N65" s="1">
        <f>Alice_Master_Analysis_View[[#This Row],[Payload(lbs)]]*val_yield_rate</f>
        <v>3094.3769161667451</v>
      </c>
      <c r="O65" s="1">
        <f>Alice_Master_Analysis_View[[#This Row],[Revenue]]-Alice_Master_Analysis_View[[#This Row],[Total_OpEx_75]]</f>
        <v>1477.2361737472381</v>
      </c>
      <c r="P65" s="1">
        <f>Alice_Master_Analysis_View[[#This Row],[Net_Profit_75]]/Alice_Master_Analysis_View[[#This Row],[Revenue]]</f>
        <v>0.47739374154109515</v>
      </c>
      <c r="Q65" s="1">
        <f>(Alice_Master_Analysis_View[[#This Row],[Start_SoC]]-(Alice_Master_Analysis_View[[#This Row],[Start_SoC]]-Alice_Master_Analysis_View[[#This Row],[Avg_Burn_rate_per_min]]*60))/100*val_capacity*val_elec_rate*val_charging_loss</f>
        <v>121.37405952000002</v>
      </c>
      <c r="R65" s="1">
        <f>Alice_Master_Analysis_View[[#This Row],[Revenue]]*60/75-(Alice_Master_Analysis_View[[#This Row],[Depreciation_OpEx]]+Alice_Master_Analysis_View[[#This Row],[Sortie_60_energy_OpEx]]+val_ground_ops)</f>
        <v>888.70430539388894</v>
      </c>
      <c r="S65" s="1">
        <f>Alice_Master_Analysis_View[[#This Row],[Net_Profit_60]]/Alice_Master_Analysis_View[[#This Row],[Revenue]]*(60/75)</f>
        <v>0.22975980741086938</v>
      </c>
      <c r="T65" s="1">
        <f>(Alice_Master_Analysis_View[[#This Row],[Net_Profit_75]]-Alice_Master_Analysis_View[[#This Row],[Net_Profit_60]])/Alice_Master_Analysis_View[[#This Row],[Net_Profit_75]]</f>
        <v>0.39840066118909545</v>
      </c>
      <c r="U65" s="1">
        <f>Alice_Master_Analysis_View[[#This Row],[Net_Profit_60]]/(Alice_Master_Analysis_View[[#This Row],[Start_SoC]]-Alice_Master_Analysis_View[[#This Row],[End_SoC]])/100*850</f>
        <v>85.319788968661683</v>
      </c>
    </row>
    <row r="66" spans="1:21" x14ac:dyDescent="0.2">
      <c r="A66" s="1" t="s">
        <v>67</v>
      </c>
      <c r="B66">
        <v>99.13966666666667</v>
      </c>
      <c r="C66">
        <v>10.062833333333334</v>
      </c>
      <c r="D66">
        <v>1.1876911111111113</v>
      </c>
      <c r="E66">
        <v>28.738533333333322</v>
      </c>
      <c r="F66">
        <v>1246.6367090077829</v>
      </c>
      <c r="G66">
        <v>32.208395490502497</v>
      </c>
      <c r="H66" s="1" t="s">
        <v>2</v>
      </c>
      <c r="I66" s="1" t="s">
        <v>133</v>
      </c>
      <c r="J66">
        <v>1</v>
      </c>
      <c r="K66">
        <f>(Alice_Master_Analysis_View[[#This Row],[Start_SoC]]-Alice_Master_Analysis_View[[#This Row],[End_SoC]])/100*val_capacity*val_elec_rate*val_charging_loss</f>
        <v>152.64206160000001</v>
      </c>
      <c r="L66" s="1">
        <f>(val_battery_cost / val_cycle) * (1 + (Alice_Master_Analysis_View[[#This Row],[Payload(lbs)]] / val_max_payload) * val_stress_factor)</f>
        <v>262.42152321018159</v>
      </c>
      <c r="M66" s="1">
        <f>(Alice_Master_Analysis_View[[#This Row],[Sortie_75_energy_OpEx]]+Alice_Master_Analysis_View[[#This Row],[Depreciation_OpEx]]+val_ground_ops)</f>
        <v>1615.0635848101815</v>
      </c>
      <c r="N66" s="1">
        <f>Alice_Master_Analysis_View[[#This Row],[Payload(lbs)]]*val_yield_rate</f>
        <v>2804.9325952675117</v>
      </c>
      <c r="O66" s="1">
        <f>Alice_Master_Analysis_View[[#This Row],[Revenue]]-Alice_Master_Analysis_View[[#This Row],[Total_OpEx_75]]</f>
        <v>1189.8690104573302</v>
      </c>
      <c r="P66" s="1">
        <f>Alice_Master_Analysis_View[[#This Row],[Net_Profit_75]]/Alice_Master_Analysis_View[[#This Row],[Revenue]]</f>
        <v>0.42420591940957147</v>
      </c>
      <c r="Q66" s="1">
        <f>(Alice_Master_Analysis_View[[#This Row],[Start_SoC]]-(Alice_Master_Analysis_View[[#This Row],[Start_SoC]]-Alice_Master_Analysis_View[[#This Row],[Avg_Burn_rate_per_min]]*60))/100*val_capacity*val_elec_rate*val_charging_loss</f>
        <v>122.11364928000002</v>
      </c>
      <c r="R66" s="1">
        <f>Alice_Master_Analysis_View[[#This Row],[Revenue]]*60/75-(Alice_Master_Analysis_View[[#This Row],[Depreciation_OpEx]]+Alice_Master_Analysis_View[[#This Row],[Sortie_60_energy_OpEx]]+val_ground_ops)</f>
        <v>659.41090372382769</v>
      </c>
      <c r="S66" s="1">
        <f>Alice_Master_Analysis_View[[#This Row],[Net_Profit_60]]/Alice_Master_Analysis_View[[#This Row],[Revenue]]*(60/75)</f>
        <v>0.18807180032386867</v>
      </c>
      <c r="T66" s="1">
        <f>(Alice_Master_Analysis_View[[#This Row],[Net_Profit_75]]-Alice_Master_Analysis_View[[#This Row],[Net_Profit_60]])/Alice_Master_Analysis_View[[#This Row],[Net_Profit_75]]</f>
        <v>0.44581218778831727</v>
      </c>
      <c r="U66" s="1">
        <f>Alice_Master_Analysis_View[[#This Row],[Net_Profit_60]]/(Alice_Master_Analysis_View[[#This Row],[Start_SoC]]-Alice_Master_Analysis_View[[#This Row],[End_SoC]])/100*850</f>
        <v>62.923124587042288</v>
      </c>
    </row>
    <row r="67" spans="1:21" x14ac:dyDescent="0.2">
      <c r="A67" s="1" t="s">
        <v>68</v>
      </c>
      <c r="B67">
        <v>99.109666666666669</v>
      </c>
      <c r="C67">
        <v>10.207833333333333</v>
      </c>
      <c r="D67">
        <v>1.185357777777778</v>
      </c>
      <c r="E67">
        <v>28.878533333333323</v>
      </c>
      <c r="F67">
        <v>1202.1852361644767</v>
      </c>
      <c r="G67">
        <v>7.1484944900317799</v>
      </c>
      <c r="H67" s="1" t="s">
        <v>5</v>
      </c>
      <c r="I67" s="1" t="s">
        <v>133</v>
      </c>
      <c r="J67">
        <v>1</v>
      </c>
      <c r="K67">
        <f>(Alice_Master_Analysis_View[[#This Row],[Start_SoC]]-Alice_Master_Analysis_View[[#This Row],[End_SoC]])/100*val_capacity*val_elec_rate*val_charging_loss</f>
        <v>152.34218160000003</v>
      </c>
      <c r="L67" s="1">
        <f>(val_battery_cost / val_cycle) * (1 + (Alice_Master_Analysis_View[[#This Row],[Payload(lbs)]] / val_max_payload) * val_stress_factor)</f>
        <v>261.38432217717116</v>
      </c>
      <c r="M67" s="1">
        <f>(Alice_Master_Analysis_View[[#This Row],[Sortie_75_energy_OpEx]]+Alice_Master_Analysis_View[[#This Row],[Depreciation_OpEx]]+val_ground_ops)</f>
        <v>1613.7265037771713</v>
      </c>
      <c r="N67" s="1">
        <f>Alice_Master_Analysis_View[[#This Row],[Payload(lbs)]]*val_yield_rate</f>
        <v>2704.9167813700724</v>
      </c>
      <c r="O67" s="1">
        <f>Alice_Master_Analysis_View[[#This Row],[Revenue]]-Alice_Master_Analysis_View[[#This Row],[Total_OpEx_75]]</f>
        <v>1091.1902775929011</v>
      </c>
      <c r="P67" s="1">
        <f>Alice_Master_Analysis_View[[#This Row],[Net_Profit_75]]/Alice_Master_Analysis_View[[#This Row],[Revenue]]</f>
        <v>0.40340992562447719</v>
      </c>
      <c r="Q67" s="1">
        <f>(Alice_Master_Analysis_View[[#This Row],[Start_SoC]]-(Alice_Master_Analysis_View[[#This Row],[Start_SoC]]-Alice_Master_Analysis_View[[#This Row],[Avg_Burn_rate_per_min]]*60))/100*val_capacity*val_elec_rate*val_charging_loss</f>
        <v>121.87374528000002</v>
      </c>
      <c r="R67" s="1">
        <f>Alice_Master_Analysis_View[[#This Row],[Revenue]]*60/75-(Alice_Master_Analysis_View[[#This Row],[Depreciation_OpEx]]+Alice_Master_Analysis_View[[#This Row],[Sortie_60_energy_OpEx]]+val_ground_ops)</f>
        <v>580.67535763888714</v>
      </c>
      <c r="S67" s="1">
        <f>Alice_Master_Analysis_View[[#This Row],[Net_Profit_60]]/Alice_Master_Analysis_View[[#This Row],[Revenue]]*(60/75)</f>
        <v>0.17173921553173055</v>
      </c>
      <c r="T67" s="1">
        <f>(Alice_Master_Analysis_View[[#This Row],[Net_Profit_75]]-Alice_Master_Analysis_View[[#This Row],[Net_Profit_60]])/Alice_Master_Analysis_View[[#This Row],[Net_Profit_75]]</f>
        <v>0.46785141916786377</v>
      </c>
      <c r="U67" s="1">
        <f>Alice_Master_Analysis_View[[#This Row],[Net_Profit_60]]/(Alice_Master_Analysis_View[[#This Row],[Start_SoC]]-Alice_Master_Analysis_View[[#This Row],[End_SoC]])/100*850</f>
        <v>55.518996120408538</v>
      </c>
    </row>
    <row r="68" spans="1:21" x14ac:dyDescent="0.2">
      <c r="A68" s="1" t="s">
        <v>69</v>
      </c>
      <c r="B68">
        <v>99.114999999999995</v>
      </c>
      <c r="C68">
        <v>10.206</v>
      </c>
      <c r="D68">
        <v>1.1854533333333332</v>
      </c>
      <c r="E68">
        <v>28.872800000000012</v>
      </c>
      <c r="F68">
        <v>1413.2874943843708</v>
      </c>
      <c r="G68">
        <v>36.827749490586363</v>
      </c>
      <c r="H68" s="1" t="s">
        <v>2</v>
      </c>
      <c r="I68" s="1" t="s">
        <v>133</v>
      </c>
      <c r="J68">
        <v>1</v>
      </c>
      <c r="K68">
        <f>(Alice_Master_Analysis_View[[#This Row],[Start_SoC]]-Alice_Master_Analysis_View[[#This Row],[End_SoC]])/100*val_capacity*val_elec_rate*val_charging_loss</f>
        <v>152.35446240000002</v>
      </c>
      <c r="L68" s="1">
        <f>(val_battery_cost / val_cycle) * (1 + (Alice_Master_Analysis_View[[#This Row],[Payload(lbs)]] / val_max_payload) * val_stress_factor)</f>
        <v>266.31004153563532</v>
      </c>
      <c r="M68" s="1">
        <f>(Alice_Master_Analysis_View[[#This Row],[Sortie_75_energy_OpEx]]+Alice_Master_Analysis_View[[#This Row],[Depreciation_OpEx]]+val_ground_ops)</f>
        <v>1618.6645039356354</v>
      </c>
      <c r="N68" s="1">
        <f>Alice_Master_Analysis_View[[#This Row],[Payload(lbs)]]*val_yield_rate</f>
        <v>3179.8968623648343</v>
      </c>
      <c r="O68" s="1">
        <f>Alice_Master_Analysis_View[[#This Row],[Revenue]]-Alice_Master_Analysis_View[[#This Row],[Total_OpEx_75]]</f>
        <v>1561.2323584291989</v>
      </c>
      <c r="P68" s="1">
        <f>Alice_Master_Analysis_View[[#This Row],[Net_Profit_75]]/Alice_Master_Analysis_View[[#This Row],[Revenue]]</f>
        <v>0.49096949555405939</v>
      </c>
      <c r="Q68" s="1">
        <f>(Alice_Master_Analysis_View[[#This Row],[Start_SoC]]-(Alice_Master_Analysis_View[[#This Row],[Start_SoC]]-Alice_Master_Analysis_View[[#This Row],[Avg_Burn_rate_per_min]]*60))/100*val_capacity*val_elec_rate*val_charging_loss</f>
        <v>121.88356992</v>
      </c>
      <c r="R68" s="1">
        <f>Alice_Master_Analysis_View[[#This Row],[Revenue]]*60/75-(Alice_Master_Analysis_View[[#This Row],[Depreciation_OpEx]]+Alice_Master_Analysis_View[[#This Row],[Sortie_60_energy_OpEx]]+val_ground_ops)</f>
        <v>955.72387843623233</v>
      </c>
      <c r="S68" s="1">
        <f>Alice_Master_Analysis_View[[#This Row],[Net_Profit_60]]/Alice_Master_Analysis_View[[#This Row],[Revenue]]*(60/75)</f>
        <v>0.24044147840077482</v>
      </c>
      <c r="T68" s="1">
        <f>(Alice_Master_Analysis_View[[#This Row],[Net_Profit_75]]-Alice_Master_Analysis_View[[#This Row],[Net_Profit_60]])/Alice_Master_Analysis_View[[#This Row],[Net_Profit_75]]</f>
        <v>0.38784007820731198</v>
      </c>
      <c r="U68" s="1">
        <f>Alice_Master_Analysis_View[[#This Row],[Net_Profit_60]]/(Alice_Master_Analysis_View[[#This Row],[Start_SoC]]-Alice_Master_Analysis_View[[#This Row],[End_SoC]])/100*850</f>
        <v>91.370423317189207</v>
      </c>
    </row>
    <row r="69" spans="1:21" x14ac:dyDescent="0.2">
      <c r="A69" s="1" t="s">
        <v>70</v>
      </c>
      <c r="B69">
        <v>99.149666666666661</v>
      </c>
      <c r="C69">
        <v>10.220333333333334</v>
      </c>
      <c r="D69">
        <v>1.1857244444444444</v>
      </c>
      <c r="E69">
        <v>28.856533333333346</v>
      </c>
      <c r="F69">
        <v>598.40540630248267</v>
      </c>
      <c r="G69">
        <v>8.1889641610553561</v>
      </c>
      <c r="H69" s="1" t="s">
        <v>5</v>
      </c>
      <c r="I69" s="1" t="s">
        <v>133</v>
      </c>
      <c r="J69">
        <v>1</v>
      </c>
      <c r="K69">
        <f>(Alice_Master_Analysis_View[[#This Row],[Start_SoC]]-Alice_Master_Analysis_View[[#This Row],[End_SoC]])/100*val_capacity*val_elec_rate*val_charging_loss</f>
        <v>152.38930559999997</v>
      </c>
      <c r="L69" s="1">
        <f>(val_battery_cost / val_cycle) * (1 + (Alice_Master_Analysis_View[[#This Row],[Payload(lbs)]] / val_max_payload) * val_stress_factor)</f>
        <v>247.29612614705792</v>
      </c>
      <c r="M69" s="1">
        <f>(Alice_Master_Analysis_View[[#This Row],[Sortie_75_energy_OpEx]]+Alice_Master_Analysis_View[[#This Row],[Depreciation_OpEx]]+val_ground_ops)</f>
        <v>1599.6854317470579</v>
      </c>
      <c r="N69" s="1">
        <f>Alice_Master_Analysis_View[[#This Row],[Payload(lbs)]]*val_yield_rate</f>
        <v>1346.4121641805859</v>
      </c>
      <c r="O69" s="1">
        <f>Alice_Master_Analysis_View[[#This Row],[Revenue]]-Alice_Master_Analysis_View[[#This Row],[Total_OpEx_75]]</f>
        <v>-253.27326756647199</v>
      </c>
      <c r="P69" s="1">
        <f>Alice_Master_Analysis_View[[#This Row],[Net_Profit_75]]/Alice_Master_Analysis_View[[#This Row],[Revenue]]</f>
        <v>-0.18810975888695403</v>
      </c>
      <c r="Q69" s="1">
        <f>(Alice_Master_Analysis_View[[#This Row],[Start_SoC]]-(Alice_Master_Analysis_View[[#This Row],[Start_SoC]]-Alice_Master_Analysis_View[[#This Row],[Avg_Burn_rate_per_min]]*60))/100*val_capacity*val_elec_rate*val_charging_loss</f>
        <v>121.91144447999999</v>
      </c>
      <c r="R69" s="1">
        <f>Alice_Master_Analysis_View[[#This Row],[Revenue]]*60/75-(Alice_Master_Analysis_View[[#This Row],[Depreciation_OpEx]]+Alice_Master_Analysis_View[[#This Row],[Sortie_60_energy_OpEx]]+val_ground_ops)</f>
        <v>-492.07783928258937</v>
      </c>
      <c r="S69" s="1">
        <f>Alice_Master_Analysis_View[[#This Row],[Net_Profit_60]]/Alice_Master_Analysis_View[[#This Row],[Revenue]]*(60/75)</f>
        <v>-0.29237872465720832</v>
      </c>
      <c r="T69" s="1">
        <f>(Alice_Master_Analysis_View[[#This Row],[Net_Profit_75]]-Alice_Master_Analysis_View[[#This Row],[Net_Profit_60]])/Alice_Master_Analysis_View[[#This Row],[Net_Profit_75]]</f>
        <v>-0.94287318204019588</v>
      </c>
      <c r="U69" s="1">
        <f>Alice_Master_Analysis_View[[#This Row],[Net_Profit_60]]/(Alice_Master_Analysis_View[[#This Row],[Start_SoC]]-Alice_Master_Analysis_View[[#This Row],[End_SoC]])/100*850</f>
        <v>-47.033543119278335</v>
      </c>
    </row>
    <row r="70" spans="1:21" x14ac:dyDescent="0.2">
      <c r="A70" s="1" t="s">
        <v>71</v>
      </c>
      <c r="B70">
        <v>99.061999999999998</v>
      </c>
      <c r="C70">
        <v>0</v>
      </c>
      <c r="D70">
        <v>1.3208266666666666</v>
      </c>
      <c r="E70">
        <v>20.750399999999999</v>
      </c>
      <c r="F70">
        <v>1929.548529915068</v>
      </c>
      <c r="G70">
        <v>6.0032228717696077</v>
      </c>
      <c r="H70" s="1" t="s">
        <v>2</v>
      </c>
      <c r="I70" s="1" t="s">
        <v>133</v>
      </c>
      <c r="J70">
        <v>1</v>
      </c>
      <c r="K70">
        <f>(Alice_Master_Analysis_View[[#This Row],[Start_SoC]]-Alice_Master_Analysis_View[[#This Row],[End_SoC]])/100*val_capacity*val_elec_rate*val_charging_loss</f>
        <v>169.75264319999999</v>
      </c>
      <c r="L70" s="1">
        <f>(val_battery_cost / val_cycle) * (1 + (Alice_Master_Analysis_View[[#This Row],[Payload(lbs)]] / val_max_payload) * val_stress_factor)</f>
        <v>278.35613236468492</v>
      </c>
      <c r="M70" s="1">
        <f>(Alice_Master_Analysis_View[[#This Row],[Sortie_75_energy_OpEx]]+Alice_Master_Analysis_View[[#This Row],[Depreciation_OpEx]]+val_ground_ops)</f>
        <v>1648.1087755646849</v>
      </c>
      <c r="N70" s="1">
        <f>Alice_Master_Analysis_View[[#This Row],[Payload(lbs)]]*val_yield_rate</f>
        <v>4341.4841923089034</v>
      </c>
      <c r="O70" s="1">
        <f>Alice_Master_Analysis_View[[#This Row],[Revenue]]-Alice_Master_Analysis_View[[#This Row],[Total_OpEx_75]]</f>
        <v>2693.3754167442185</v>
      </c>
      <c r="P70" s="1">
        <f>Alice_Master_Analysis_View[[#This Row],[Net_Profit_75]]/Alice_Master_Analysis_View[[#This Row],[Revenue]]</f>
        <v>0.62038125614176609</v>
      </c>
      <c r="Q70" s="1">
        <f>(Alice_Master_Analysis_View[[#This Row],[Start_SoC]]-(Alice_Master_Analysis_View[[#This Row],[Start_SoC]]-Alice_Master_Analysis_View[[#This Row],[Avg_Burn_rate_per_min]]*60))/100*val_capacity*val_elec_rate*val_charging_loss</f>
        <v>135.80211455999998</v>
      </c>
      <c r="R70" s="1">
        <f>Alice_Master_Analysis_View[[#This Row],[Revenue]]*60/75-(Alice_Master_Analysis_View[[#This Row],[Depreciation_OpEx]]+Alice_Master_Analysis_View[[#This Row],[Sortie_60_energy_OpEx]]+val_ground_ops)</f>
        <v>1859.0291069224377</v>
      </c>
      <c r="S70" s="1">
        <f>Alice_Master_Analysis_View[[#This Row],[Net_Profit_60]]/Alice_Master_Analysis_View[[#This Row],[Revenue]]*(60/75)</f>
        <v>0.3425610274414036</v>
      </c>
      <c r="T70" s="1">
        <f>(Alice_Master_Analysis_View[[#This Row],[Net_Profit_75]]-Alice_Master_Analysis_View[[#This Row],[Net_Profit_60]])/Alice_Master_Analysis_View[[#This Row],[Net_Profit_75]]</f>
        <v>0.30977720544815385</v>
      </c>
      <c r="U70" s="1">
        <f>Alice_Master_Analysis_View[[#This Row],[Net_Profit_60]]/(Alice_Master_Analysis_View[[#This Row],[Start_SoC]]-Alice_Master_Analysis_View[[#This Row],[End_SoC]])/100*850</f>
        <v>159.51371271366136</v>
      </c>
    </row>
    <row r="71" spans="1:21" x14ac:dyDescent="0.2">
      <c r="A71" s="1" t="s">
        <v>72</v>
      </c>
      <c r="B71">
        <v>99.132999999999996</v>
      </c>
      <c r="C71">
        <v>10.5215</v>
      </c>
      <c r="D71">
        <v>1.1814866666666666</v>
      </c>
      <c r="E71">
        <v>29.110800000000012</v>
      </c>
      <c r="F71">
        <v>766.64676374234261</v>
      </c>
      <c r="G71">
        <v>6.0947091284517629</v>
      </c>
      <c r="H71" s="1" t="s">
        <v>5</v>
      </c>
      <c r="I71" s="1" t="s">
        <v>133</v>
      </c>
      <c r="J71">
        <v>1</v>
      </c>
      <c r="K71">
        <f>(Alice_Master_Analysis_View[[#This Row],[Start_SoC]]-Alice_Master_Analysis_View[[#This Row],[End_SoC]])/100*val_capacity*val_elec_rate*val_charging_loss</f>
        <v>151.84466639999999</v>
      </c>
      <c r="L71" s="1">
        <f>(val_battery_cost / val_cycle) * (1 + (Alice_Master_Analysis_View[[#This Row],[Payload(lbs)]] / val_max_payload) * val_stress_factor)</f>
        <v>251.22175782065466</v>
      </c>
      <c r="M71" s="1">
        <f>(Alice_Master_Analysis_View[[#This Row],[Sortie_75_energy_OpEx]]+Alice_Master_Analysis_View[[#This Row],[Depreciation_OpEx]]+val_ground_ops)</f>
        <v>1603.0664242206547</v>
      </c>
      <c r="N71" s="1">
        <f>Alice_Master_Analysis_View[[#This Row],[Payload(lbs)]]*val_yield_rate</f>
        <v>1724.955218420271</v>
      </c>
      <c r="O71" s="1">
        <f>Alice_Master_Analysis_View[[#This Row],[Revenue]]-Alice_Master_Analysis_View[[#This Row],[Total_OpEx_75]]</f>
        <v>121.88879419961631</v>
      </c>
      <c r="P71" s="1">
        <f>Alice_Master_Analysis_View[[#This Row],[Net_Profit_75]]/Alice_Master_Analysis_View[[#This Row],[Revenue]]</f>
        <v>7.0662004959898689E-2</v>
      </c>
      <c r="Q71" s="1">
        <f>(Alice_Master_Analysis_View[[#This Row],[Start_SoC]]-(Alice_Master_Analysis_View[[#This Row],[Start_SoC]]-Alice_Master_Analysis_View[[#This Row],[Avg_Burn_rate_per_min]]*60))/100*val_capacity*val_elec_rate*val_charging_loss</f>
        <v>121.47573311999997</v>
      </c>
      <c r="R71" s="1">
        <f>Alice_Master_Analysis_View[[#This Row],[Revenue]]*60/75-(Alice_Master_Analysis_View[[#This Row],[Depreciation_OpEx]]+Alice_Master_Analysis_View[[#This Row],[Sortie_60_energy_OpEx]]+val_ground_ops)</f>
        <v>-192.73331620443787</v>
      </c>
      <c r="S71" s="1">
        <f>Alice_Master_Analysis_View[[#This Row],[Net_Profit_60]]/Alice_Master_Analysis_View[[#This Row],[Revenue]]*(60/75)</f>
        <v>-8.9385887423069327E-2</v>
      </c>
      <c r="T71" s="1">
        <f>(Alice_Master_Analysis_View[[#This Row],[Net_Profit_75]]-Alice_Master_Analysis_View[[#This Row],[Net_Profit_60]])/Alice_Master_Analysis_View[[#This Row],[Net_Profit_75]]</f>
        <v>2.5812226010604391</v>
      </c>
      <c r="U71" s="1">
        <f>Alice_Master_Analysis_View[[#This Row],[Net_Profit_60]]/(Alice_Master_Analysis_View[[#This Row],[Start_SoC]]-Alice_Master_Analysis_View[[#This Row],[End_SoC]])/100*850</f>
        <v>-18.487816905680663</v>
      </c>
    </row>
    <row r="72" spans="1:21" x14ac:dyDescent="0.2">
      <c r="A72" s="1" t="s">
        <v>73</v>
      </c>
      <c r="B72">
        <v>99.11366666666666</v>
      </c>
      <c r="C72">
        <v>10.000999999999999</v>
      </c>
      <c r="D72">
        <v>1.1881688888888888</v>
      </c>
      <c r="E72">
        <v>28.70986666666667</v>
      </c>
      <c r="F72">
        <v>1086.8444425334012</v>
      </c>
      <c r="G72">
        <v>43.863503200267914</v>
      </c>
      <c r="H72" s="1" t="s">
        <v>2</v>
      </c>
      <c r="I72" s="1" t="s">
        <v>133</v>
      </c>
      <c r="J72">
        <v>1</v>
      </c>
      <c r="K72">
        <f>(Alice_Master_Analysis_View[[#This Row],[Start_SoC]]-Alice_Master_Analysis_View[[#This Row],[End_SoC]])/100*val_capacity*val_elec_rate*val_charging_loss</f>
        <v>152.70346560000002</v>
      </c>
      <c r="L72" s="1">
        <f>(val_battery_cost / val_cycle) * (1 + (Alice_Master_Analysis_View[[#This Row],[Payload(lbs)]] / val_max_payload) * val_stress_factor)</f>
        <v>258.69303699244603</v>
      </c>
      <c r="M72" s="1">
        <f>(Alice_Master_Analysis_View[[#This Row],[Sortie_75_energy_OpEx]]+Alice_Master_Analysis_View[[#This Row],[Depreciation_OpEx]]+val_ground_ops)</f>
        <v>1611.396502592446</v>
      </c>
      <c r="N72" s="1">
        <f>Alice_Master_Analysis_View[[#This Row],[Payload(lbs)]]*val_yield_rate</f>
        <v>2445.3999957001529</v>
      </c>
      <c r="O72" s="1">
        <f>Alice_Master_Analysis_View[[#This Row],[Revenue]]-Alice_Master_Analysis_View[[#This Row],[Total_OpEx_75]]</f>
        <v>834.00349310770684</v>
      </c>
      <c r="P72" s="1">
        <f>Alice_Master_Analysis_View[[#This Row],[Net_Profit_75]]/Alice_Master_Analysis_View[[#This Row],[Revenue]]</f>
        <v>0.34104992826293018</v>
      </c>
      <c r="Q72" s="1">
        <f>(Alice_Master_Analysis_View[[#This Row],[Start_SoC]]-(Alice_Master_Analysis_View[[#This Row],[Start_SoC]]-Alice_Master_Analysis_View[[#This Row],[Avg_Burn_rate_per_min]]*60))/100*val_capacity*val_elec_rate*val_charging_loss</f>
        <v>122.16277248</v>
      </c>
      <c r="R72" s="1">
        <f>Alice_Master_Analysis_View[[#This Row],[Revenue]]*60/75-(Alice_Master_Analysis_View[[#This Row],[Depreciation_OpEx]]+Alice_Master_Analysis_View[[#This Row],[Sortie_60_energy_OpEx]]+val_ground_ops)</f>
        <v>375.46418708767646</v>
      </c>
      <c r="S72" s="1">
        <f>Alice_Master_Analysis_View[[#This Row],[Net_Profit_60]]/Alice_Master_Analysis_View[[#This Row],[Revenue]]*(60/75)</f>
        <v>0.12283117289535309</v>
      </c>
      <c r="T72" s="1">
        <f>(Alice_Master_Analysis_View[[#This Row],[Net_Profit_75]]-Alice_Master_Analysis_View[[#This Row],[Net_Profit_60]])/Alice_Master_Analysis_View[[#This Row],[Net_Profit_75]]</f>
        <v>0.54980501857539898</v>
      </c>
      <c r="U72" s="1">
        <f>Alice_Master_Analysis_View[[#This Row],[Net_Profit_60]]/(Alice_Master_Analysis_View[[#This Row],[Start_SoC]]-Alice_Master_Analysis_View[[#This Row],[End_SoC]])/100*850</f>
        <v>35.813602146854357</v>
      </c>
    </row>
    <row r="73" spans="1:21" x14ac:dyDescent="0.2">
      <c r="A73" s="1" t="s">
        <v>74</v>
      </c>
      <c r="B73">
        <v>99.060333333333332</v>
      </c>
      <c r="C73">
        <v>0</v>
      </c>
      <c r="D73">
        <v>1.3208044444444444</v>
      </c>
      <c r="E73">
        <v>20.751733333333334</v>
      </c>
      <c r="F73">
        <v>2416.3545562622721</v>
      </c>
      <c r="G73">
        <v>15.2559522722003</v>
      </c>
      <c r="H73" s="1" t="s">
        <v>2</v>
      </c>
      <c r="I73" s="1" t="s">
        <v>133</v>
      </c>
      <c r="J73">
        <v>1</v>
      </c>
      <c r="K73">
        <f>(Alice_Master_Analysis_View[[#This Row],[Start_SoC]]-Alice_Master_Analysis_View[[#This Row],[End_SoC]])/100*val_capacity*val_elec_rate*val_charging_loss</f>
        <v>169.74978720000001</v>
      </c>
      <c r="L73" s="1">
        <f>(val_battery_cost / val_cycle) * (1 + (Alice_Master_Analysis_View[[#This Row],[Payload(lbs)]] / val_max_payload) * val_stress_factor)</f>
        <v>289.71493964611972</v>
      </c>
      <c r="M73" s="1">
        <f>(Alice_Master_Analysis_View[[#This Row],[Sortie_75_energy_OpEx]]+Alice_Master_Analysis_View[[#This Row],[Depreciation_OpEx]]+val_ground_ops)</f>
        <v>1659.4647268461197</v>
      </c>
      <c r="N73" s="1">
        <f>Alice_Master_Analysis_View[[#This Row],[Payload(lbs)]]*val_yield_rate</f>
        <v>5436.7977515901121</v>
      </c>
      <c r="O73" s="1">
        <f>Alice_Master_Analysis_View[[#This Row],[Revenue]]-Alice_Master_Analysis_View[[#This Row],[Total_OpEx_75]]</f>
        <v>3777.3330247439926</v>
      </c>
      <c r="P73" s="1">
        <f>Alice_Master_Analysis_View[[#This Row],[Net_Profit_75]]/Alice_Master_Analysis_View[[#This Row],[Revenue]]</f>
        <v>0.69477166474313445</v>
      </c>
      <c r="Q73" s="1">
        <f>(Alice_Master_Analysis_View[[#This Row],[Start_SoC]]-(Alice_Master_Analysis_View[[#This Row],[Start_SoC]]-Alice_Master_Analysis_View[[#This Row],[Avg_Burn_rate_per_min]]*60))/100*val_capacity*val_elec_rate*val_charging_loss</f>
        <v>135.79982976000002</v>
      </c>
      <c r="R73" s="1">
        <f>Alice_Master_Analysis_View[[#This Row],[Revenue]]*60/75-(Alice_Master_Analysis_View[[#This Row],[Depreciation_OpEx]]+Alice_Master_Analysis_View[[#This Row],[Sortie_60_energy_OpEx]]+val_ground_ops)</f>
        <v>2723.9234318659701</v>
      </c>
      <c r="S73" s="1">
        <f>Alice_Master_Analysis_View[[#This Row],[Net_Profit_60]]/Alice_Master_Analysis_View[[#This Row],[Revenue]]*(60/75)</f>
        <v>0.40081291323655344</v>
      </c>
      <c r="T73" s="1">
        <f>(Alice_Master_Analysis_View[[#This Row],[Net_Profit_75]]-Alice_Master_Analysis_View[[#This Row],[Net_Profit_60]])/Alice_Master_Analysis_View[[#This Row],[Net_Profit_75]]</f>
        <v>0.27887654754756946</v>
      </c>
      <c r="U73" s="1">
        <f>Alice_Master_Analysis_View[[#This Row],[Net_Profit_60]]/(Alice_Master_Analysis_View[[#This Row],[Start_SoC]]-Alice_Master_Analysis_View[[#This Row],[End_SoC]])/100*850</f>
        <v>233.72977247058944</v>
      </c>
    </row>
    <row r="74" spans="1:21" x14ac:dyDescent="0.2">
      <c r="A74" s="1" t="s">
        <v>75</v>
      </c>
      <c r="B74">
        <v>99.02600000000001</v>
      </c>
      <c r="C74">
        <v>0</v>
      </c>
      <c r="D74">
        <v>1.3203466666666668</v>
      </c>
      <c r="E74">
        <v>20.779199999999989</v>
      </c>
      <c r="F74">
        <v>2188.3936702412789</v>
      </c>
      <c r="G74">
        <v>-0.566968702262306</v>
      </c>
      <c r="H74" s="1" t="s">
        <v>2</v>
      </c>
      <c r="I74" s="1" t="s">
        <v>133</v>
      </c>
      <c r="J74">
        <v>1</v>
      </c>
      <c r="K74">
        <f>(Alice_Master_Analysis_View[[#This Row],[Start_SoC]]-Alice_Master_Analysis_View[[#This Row],[End_SoC]])/100*val_capacity*val_elec_rate*val_charging_loss</f>
        <v>169.69095360000003</v>
      </c>
      <c r="L74" s="1">
        <f>(val_battery_cost / val_cycle) * (1 + (Alice_Master_Analysis_View[[#This Row],[Payload(lbs)]] / val_max_payload) * val_stress_factor)</f>
        <v>284.39585230562989</v>
      </c>
      <c r="M74" s="1">
        <f>(Alice_Master_Analysis_View[[#This Row],[Sortie_75_energy_OpEx]]+Alice_Master_Analysis_View[[#This Row],[Depreciation_OpEx]]+val_ground_ops)</f>
        <v>1654.0868059056299</v>
      </c>
      <c r="N74" s="1">
        <f>Alice_Master_Analysis_View[[#This Row],[Payload(lbs)]]*val_yield_rate</f>
        <v>4923.8857580428776</v>
      </c>
      <c r="O74" s="1">
        <f>Alice_Master_Analysis_View[[#This Row],[Revenue]]-Alice_Master_Analysis_View[[#This Row],[Total_OpEx_75]]</f>
        <v>3269.7989521372474</v>
      </c>
      <c r="P74" s="1">
        <f>Alice_Master_Analysis_View[[#This Row],[Net_Profit_75]]/Alice_Master_Analysis_View[[#This Row],[Revenue]]</f>
        <v>0.66406880923185985</v>
      </c>
      <c r="Q74" s="1">
        <f>(Alice_Master_Analysis_View[[#This Row],[Start_SoC]]-(Alice_Master_Analysis_View[[#This Row],[Start_SoC]]-Alice_Master_Analysis_View[[#This Row],[Avg_Burn_rate_per_min]]*60))/100*val_capacity*val_elec_rate*val_charging_loss</f>
        <v>135.75276288000003</v>
      </c>
      <c r="R74" s="1">
        <f>Alice_Master_Analysis_View[[#This Row],[Revenue]]*60/75-(Alice_Master_Analysis_View[[#This Row],[Depreciation_OpEx]]+Alice_Master_Analysis_View[[#This Row],[Sortie_60_energy_OpEx]]+val_ground_ops)</f>
        <v>2318.9599912486719</v>
      </c>
      <c r="S74" s="1">
        <f>Alice_Master_Analysis_View[[#This Row],[Net_Profit_60]]/Alice_Master_Analysis_View[[#This Row],[Revenue]]*(60/75)</f>
        <v>0.37676909744882486</v>
      </c>
      <c r="T74" s="1">
        <f>(Alice_Master_Analysis_View[[#This Row],[Net_Profit_75]]-Alice_Master_Analysis_View[[#This Row],[Net_Profit_60]])/Alice_Master_Analysis_View[[#This Row],[Net_Profit_75]]</f>
        <v>0.29079431940825479</v>
      </c>
      <c r="U74" s="1">
        <f>Alice_Master_Analysis_View[[#This Row],[Net_Profit_60]]/(Alice_Master_Analysis_View[[#This Row],[Start_SoC]]-Alice_Master_Analysis_View[[#This Row],[End_SoC]])/100*850</f>
        <v>199.05034966184346</v>
      </c>
    </row>
    <row r="75" spans="1:21" x14ac:dyDescent="0.2">
      <c r="A75" s="1" t="s">
        <v>76</v>
      </c>
      <c r="B75">
        <v>99.13000000000001</v>
      </c>
      <c r="C75">
        <v>10.094166666666666</v>
      </c>
      <c r="D75">
        <v>1.1871444444444446</v>
      </c>
      <c r="E75">
        <v>28.771333333333331</v>
      </c>
      <c r="F75">
        <v>1507.0650725647658</v>
      </c>
      <c r="G75">
        <v>19.893151708801575</v>
      </c>
      <c r="H75" s="1" t="s">
        <v>5</v>
      </c>
      <c r="I75" s="1" t="s">
        <v>133</v>
      </c>
      <c r="J75">
        <v>1</v>
      </c>
      <c r="K75">
        <f>(Alice_Master_Analysis_View[[#This Row],[Start_SoC]]-Alice_Master_Analysis_View[[#This Row],[End_SoC]])/100*val_capacity*val_elec_rate*val_charging_loss</f>
        <v>152.57180400000001</v>
      </c>
      <c r="L75" s="1">
        <f>(val_battery_cost / val_cycle) * (1 + (Alice_Master_Analysis_View[[#This Row],[Payload(lbs)]] / val_max_payload) * val_stress_factor)</f>
        <v>268.49818502651124</v>
      </c>
      <c r="M75" s="1">
        <f>(Alice_Master_Analysis_View[[#This Row],[Sortie_75_energy_OpEx]]+Alice_Master_Analysis_View[[#This Row],[Depreciation_OpEx]]+val_ground_ops)</f>
        <v>1621.0699890265114</v>
      </c>
      <c r="N75" s="1">
        <f>Alice_Master_Analysis_View[[#This Row],[Payload(lbs)]]*val_yield_rate</f>
        <v>3390.8964132707233</v>
      </c>
      <c r="O75" s="1">
        <f>Alice_Master_Analysis_View[[#This Row],[Revenue]]-Alice_Master_Analysis_View[[#This Row],[Total_OpEx_75]]</f>
        <v>1769.8264242442119</v>
      </c>
      <c r="P75" s="1">
        <f>Alice_Master_Analysis_View[[#This Row],[Net_Profit_75]]/Alice_Master_Analysis_View[[#This Row],[Revenue]]</f>
        <v>0.52193467701276908</v>
      </c>
      <c r="Q75" s="1">
        <f>(Alice_Master_Analysis_View[[#This Row],[Start_SoC]]-(Alice_Master_Analysis_View[[#This Row],[Start_SoC]]-Alice_Master_Analysis_View[[#This Row],[Avg_Burn_rate_per_min]]*60))/100*val_capacity*val_elec_rate*val_charging_loss</f>
        <v>122.05744320000001</v>
      </c>
      <c r="R75" s="1">
        <f>Alice_Master_Analysis_View[[#This Row],[Revenue]]*60/75-(Alice_Master_Analysis_View[[#This Row],[Depreciation_OpEx]]+Alice_Master_Analysis_View[[#This Row],[Sortie_60_energy_OpEx]]+val_ground_ops)</f>
        <v>1122.161502390067</v>
      </c>
      <c r="S75" s="1">
        <f>Alice_Master_Analysis_View[[#This Row],[Net_Profit_60]]/Alice_Master_Analysis_View[[#This Row],[Revenue]]*(60/75)</f>
        <v>0.26474686705222583</v>
      </c>
      <c r="T75" s="1">
        <f>(Alice_Master_Analysis_View[[#This Row],[Net_Profit_75]]-Alice_Master_Analysis_View[[#This Row],[Net_Profit_60]])/Alice_Master_Analysis_View[[#This Row],[Net_Profit_75]]</f>
        <v>0.36594827209155512</v>
      </c>
      <c r="U75" s="1">
        <f>Alice_Master_Analysis_View[[#This Row],[Net_Profit_60]]/(Alice_Master_Analysis_View[[#This Row],[Start_SoC]]-Alice_Master_Analysis_View[[#This Row],[End_SoC]])/100*850</f>
        <v>107.12959505422612</v>
      </c>
    </row>
    <row r="76" spans="1:21" x14ac:dyDescent="0.2">
      <c r="A76" s="1" t="s">
        <v>77</v>
      </c>
      <c r="B76">
        <v>99.122166666666672</v>
      </c>
      <c r="C76">
        <v>10.444833333333333</v>
      </c>
      <c r="D76">
        <v>1.1823644444444446</v>
      </c>
      <c r="E76">
        <v>29.05813333333333</v>
      </c>
      <c r="F76">
        <v>1305.9744356666574</v>
      </c>
      <c r="G76">
        <v>13.35958646503914</v>
      </c>
      <c r="H76" s="1" t="s">
        <v>2</v>
      </c>
      <c r="I76" s="1" t="s">
        <v>133</v>
      </c>
      <c r="J76">
        <v>1</v>
      </c>
      <c r="K76">
        <f>(Alice_Master_Analysis_View[[#This Row],[Start_SoC]]-Alice_Master_Analysis_View[[#This Row],[End_SoC]])/100*val_capacity*val_elec_rate*val_charging_loss</f>
        <v>151.95747840000001</v>
      </c>
      <c r="L76" s="1">
        <f>(val_battery_cost / val_cycle) * (1 + (Alice_Master_Analysis_View[[#This Row],[Payload(lbs)]] / val_max_payload) * val_stress_factor)</f>
        <v>263.80607016555535</v>
      </c>
      <c r="M76" s="1">
        <f>(Alice_Master_Analysis_View[[#This Row],[Sortie_75_energy_OpEx]]+Alice_Master_Analysis_View[[#This Row],[Depreciation_OpEx]]+val_ground_ops)</f>
        <v>1615.7635485655553</v>
      </c>
      <c r="N76" s="1">
        <f>Alice_Master_Analysis_View[[#This Row],[Payload(lbs)]]*val_yield_rate</f>
        <v>2938.4424802499793</v>
      </c>
      <c r="O76" s="1">
        <f>Alice_Master_Analysis_View[[#This Row],[Revenue]]-Alice_Master_Analysis_View[[#This Row],[Total_OpEx_75]]</f>
        <v>1322.678931684424</v>
      </c>
      <c r="P76" s="1">
        <f>Alice_Master_Analysis_View[[#This Row],[Net_Profit_75]]/Alice_Master_Analysis_View[[#This Row],[Revenue]]</f>
        <v>0.45012925744658477</v>
      </c>
      <c r="Q76" s="1">
        <f>(Alice_Master_Analysis_View[[#This Row],[Start_SoC]]-(Alice_Master_Analysis_View[[#This Row],[Start_SoC]]-Alice_Master_Analysis_View[[#This Row],[Avg_Burn_rate_per_min]]*60))/100*val_capacity*val_elec_rate*val_charging_loss</f>
        <v>121.56598271999999</v>
      </c>
      <c r="R76" s="1">
        <f>Alice_Master_Analysis_View[[#This Row],[Revenue]]*60/75-(Alice_Master_Analysis_View[[#This Row],[Depreciation_OpEx]]+Alice_Master_Analysis_View[[#This Row],[Sortie_60_energy_OpEx]]+val_ground_ops)</f>
        <v>765.38193131442836</v>
      </c>
      <c r="S76" s="1">
        <f>Alice_Master_Analysis_View[[#This Row],[Net_Profit_60]]/Alice_Master_Analysis_View[[#This Row],[Revenue]]*(60/75)</f>
        <v>0.20837758410008167</v>
      </c>
      <c r="T76" s="1">
        <f>(Alice_Master_Analysis_View[[#This Row],[Net_Profit_75]]-Alice_Master_Analysis_View[[#This Row],[Net_Profit_60]])/Alice_Master_Analysis_View[[#This Row],[Net_Profit_75]]</f>
        <v>0.42133959120395237</v>
      </c>
      <c r="U76" s="1">
        <f>Alice_Master_Analysis_View[[#This Row],[Net_Profit_60]]/(Alice_Master_Analysis_View[[#This Row],[Start_SoC]]-Alice_Master_Analysis_View[[#This Row],[End_SoC]])/100*850</f>
        <v>73.364254106716189</v>
      </c>
    </row>
    <row r="77" spans="1:21" x14ac:dyDescent="0.2">
      <c r="A77" s="1" t="s">
        <v>78</v>
      </c>
      <c r="B77">
        <v>99.067833333333326</v>
      </c>
      <c r="C77">
        <v>0</v>
      </c>
      <c r="D77">
        <v>1.3209044444444444</v>
      </c>
      <c r="E77">
        <v>20.745733333333334</v>
      </c>
      <c r="F77">
        <v>2339.729246215526</v>
      </c>
      <c r="G77">
        <v>33.903866524468192</v>
      </c>
      <c r="H77" s="1" t="s">
        <v>2</v>
      </c>
      <c r="I77" s="1" t="s">
        <v>133</v>
      </c>
      <c r="J77">
        <v>1</v>
      </c>
      <c r="K77">
        <f>(Alice_Master_Analysis_View[[#This Row],[Start_SoC]]-Alice_Master_Analysis_View[[#This Row],[End_SoC]])/100*val_capacity*val_elec_rate*val_charging_loss</f>
        <v>169.7626392</v>
      </c>
      <c r="L77" s="1">
        <f>(val_battery_cost / val_cycle) * (1 + (Alice_Master_Analysis_View[[#This Row],[Payload(lbs)]] / val_max_payload) * val_stress_factor)</f>
        <v>287.927015745029</v>
      </c>
      <c r="M77" s="1">
        <f>(Alice_Master_Analysis_View[[#This Row],[Sortie_75_energy_OpEx]]+Alice_Master_Analysis_View[[#This Row],[Depreciation_OpEx]]+val_ground_ops)</f>
        <v>1657.6896549450289</v>
      </c>
      <c r="N77" s="1">
        <f>Alice_Master_Analysis_View[[#This Row],[Payload(lbs)]]*val_yield_rate</f>
        <v>5264.3908039849339</v>
      </c>
      <c r="O77" s="1">
        <f>Alice_Master_Analysis_View[[#This Row],[Revenue]]-Alice_Master_Analysis_View[[#This Row],[Total_OpEx_75]]</f>
        <v>3606.701149039905</v>
      </c>
      <c r="P77" s="1">
        <f>Alice_Master_Analysis_View[[#This Row],[Net_Profit_75]]/Alice_Master_Analysis_View[[#This Row],[Revenue]]</f>
        <v>0.6851127287719172</v>
      </c>
      <c r="Q77" s="1">
        <f>(Alice_Master_Analysis_View[[#This Row],[Start_SoC]]-(Alice_Master_Analysis_View[[#This Row],[Start_SoC]]-Alice_Master_Analysis_View[[#This Row],[Avg_Burn_rate_per_min]]*60))/100*val_capacity*val_elec_rate*val_charging_loss</f>
        <v>135.81011136000001</v>
      </c>
      <c r="R77" s="1">
        <f>Alice_Master_Analysis_View[[#This Row],[Revenue]]*60/75-(Alice_Master_Analysis_View[[#This Row],[Depreciation_OpEx]]+Alice_Master_Analysis_View[[#This Row],[Sortie_60_energy_OpEx]]+val_ground_ops)</f>
        <v>2587.7755160829183</v>
      </c>
      <c r="S77" s="1">
        <f>Alice_Master_Analysis_View[[#This Row],[Net_Profit_60]]/Alice_Master_Analysis_View[[#This Row],[Revenue]]*(60/75)</f>
        <v>0.39324975860440686</v>
      </c>
      <c r="T77" s="1">
        <f>(Alice_Master_Analysis_View[[#This Row],[Net_Profit_75]]-Alice_Master_Analysis_View[[#This Row],[Net_Profit_60]])/Alice_Master_Analysis_View[[#This Row],[Net_Profit_75]]</f>
        <v>0.28250902718353088</v>
      </c>
      <c r="U77" s="1">
        <f>Alice_Master_Analysis_View[[#This Row],[Net_Profit_60]]/(Alice_Master_Analysis_View[[#This Row],[Start_SoC]]-Alice_Master_Analysis_View[[#This Row],[End_SoC]])/100*850</f>
        <v>222.03061424281483</v>
      </c>
    </row>
    <row r="78" spans="1:21" x14ac:dyDescent="0.2">
      <c r="A78" s="1" t="s">
        <v>79</v>
      </c>
      <c r="B78">
        <v>99.069333333333333</v>
      </c>
      <c r="C78">
        <v>0</v>
      </c>
      <c r="D78">
        <v>1.3209244444444443</v>
      </c>
      <c r="E78">
        <v>20.744533333333337</v>
      </c>
      <c r="F78">
        <v>2300.9181846038382</v>
      </c>
      <c r="G78">
        <v>34.14527439155308</v>
      </c>
      <c r="H78" s="1" t="s">
        <v>2</v>
      </c>
      <c r="I78" s="1" t="s">
        <v>133</v>
      </c>
      <c r="J78">
        <v>1</v>
      </c>
      <c r="K78">
        <f>(Alice_Master_Analysis_View[[#This Row],[Start_SoC]]-Alice_Master_Analysis_View[[#This Row],[End_SoC]])/100*val_capacity*val_elec_rate*val_charging_loss</f>
        <v>169.76520959999999</v>
      </c>
      <c r="L78" s="1">
        <f>(val_battery_cost / val_cycle) * (1 + (Alice_Master_Analysis_View[[#This Row],[Payload(lbs)]] / val_max_payload) * val_stress_factor)</f>
        <v>287.02142430742288</v>
      </c>
      <c r="M78" s="1">
        <f>(Alice_Master_Analysis_View[[#This Row],[Sortie_75_energy_OpEx]]+Alice_Master_Analysis_View[[#This Row],[Depreciation_OpEx]]+val_ground_ops)</f>
        <v>1656.7866339074228</v>
      </c>
      <c r="N78" s="1">
        <f>Alice_Master_Analysis_View[[#This Row],[Payload(lbs)]]*val_yield_rate</f>
        <v>5177.0659153586357</v>
      </c>
      <c r="O78" s="1">
        <f>Alice_Master_Analysis_View[[#This Row],[Revenue]]-Alice_Master_Analysis_View[[#This Row],[Total_OpEx_75]]</f>
        <v>3520.2792814512131</v>
      </c>
      <c r="P78" s="1">
        <f>Alice_Master_Analysis_View[[#This Row],[Net_Profit_75]]/Alice_Master_Analysis_View[[#This Row],[Revenue]]</f>
        <v>0.67997575055162296</v>
      </c>
      <c r="Q78" s="1">
        <f>(Alice_Master_Analysis_View[[#This Row],[Start_SoC]]-(Alice_Master_Analysis_View[[#This Row],[Start_SoC]]-Alice_Master_Analysis_View[[#This Row],[Avg_Burn_rate_per_min]]*60))/100*val_capacity*val_elec_rate*val_charging_loss</f>
        <v>135.81216768000002</v>
      </c>
      <c r="R78" s="1">
        <f>Alice_Master_Analysis_View[[#This Row],[Revenue]]*60/75-(Alice_Master_Analysis_View[[#This Row],[Depreciation_OpEx]]+Alice_Master_Analysis_View[[#This Row],[Sortie_60_energy_OpEx]]+val_ground_ops)</f>
        <v>2518.8191402994858</v>
      </c>
      <c r="S78" s="1">
        <f>Alice_Master_Analysis_View[[#This Row],[Net_Profit_60]]/Alice_Master_Analysis_View[[#This Row],[Revenue]]*(60/75)</f>
        <v>0.38922728533580936</v>
      </c>
      <c r="T78" s="1">
        <f>(Alice_Master_Analysis_View[[#This Row],[Net_Profit_75]]-Alice_Master_Analysis_View[[#This Row],[Net_Profit_60]])/Alice_Master_Analysis_View[[#This Row],[Net_Profit_75]]</f>
        <v>0.28448315064902513</v>
      </c>
      <c r="U78" s="1">
        <f>Alice_Master_Analysis_View[[#This Row],[Net_Profit_60]]/(Alice_Master_Analysis_View[[#This Row],[Start_SoC]]-Alice_Master_Analysis_View[[#This Row],[End_SoC]])/100*850</f>
        <v>216.11089902572235</v>
      </c>
    </row>
    <row r="79" spans="1:21" x14ac:dyDescent="0.2">
      <c r="A79" s="1" t="s">
        <v>80</v>
      </c>
      <c r="B79">
        <v>99.114000000000004</v>
      </c>
      <c r="C79">
        <v>10.046666666666665</v>
      </c>
      <c r="D79">
        <v>1.1875644444444444</v>
      </c>
      <c r="E79">
        <v>28.746133333333333</v>
      </c>
      <c r="F79">
        <v>1800.9230080177174</v>
      </c>
      <c r="G79">
        <v>29.468939875332911</v>
      </c>
      <c r="H79" s="1" t="s">
        <v>2</v>
      </c>
      <c r="I79" s="1" t="s">
        <v>133</v>
      </c>
      <c r="J79">
        <v>1</v>
      </c>
      <c r="K79">
        <f>(Alice_Master_Analysis_View[[#This Row],[Start_SoC]]-Alice_Master_Analysis_View[[#This Row],[End_SoC]])/100*val_capacity*val_elec_rate*val_charging_loss</f>
        <v>152.62578240000002</v>
      </c>
      <c r="L79" s="1">
        <f>(val_battery_cost / val_cycle) * (1 + (Alice_Master_Analysis_View[[#This Row],[Payload(lbs)]] / val_max_payload) * val_stress_factor)</f>
        <v>275.35487018708005</v>
      </c>
      <c r="M79" s="1">
        <f>(Alice_Master_Analysis_View[[#This Row],[Sortie_75_energy_OpEx]]+Alice_Master_Analysis_View[[#This Row],[Depreciation_OpEx]]+val_ground_ops)</f>
        <v>1627.9806525870799</v>
      </c>
      <c r="N79" s="1">
        <f>Alice_Master_Analysis_View[[#This Row],[Payload(lbs)]]*val_yield_rate</f>
        <v>4052.076768039864</v>
      </c>
      <c r="O79" s="1">
        <f>Alice_Master_Analysis_View[[#This Row],[Revenue]]-Alice_Master_Analysis_View[[#This Row],[Total_OpEx_75]]</f>
        <v>2424.096115452784</v>
      </c>
      <c r="P79" s="1">
        <f>Alice_Master_Analysis_View[[#This Row],[Net_Profit_75]]/Alice_Master_Analysis_View[[#This Row],[Revenue]]</f>
        <v>0.59823548620116762</v>
      </c>
      <c r="Q79" s="1">
        <f>(Alice_Master_Analysis_View[[#This Row],[Start_SoC]]-(Alice_Master_Analysis_View[[#This Row],[Start_SoC]]-Alice_Master_Analysis_View[[#This Row],[Avg_Burn_rate_per_min]]*60))/100*val_capacity*val_elec_rate*val_charging_loss</f>
        <v>122.10062592000001</v>
      </c>
      <c r="R79" s="1">
        <f>Alice_Master_Analysis_View[[#This Row],[Revenue]]*60/75-(Alice_Master_Analysis_View[[#This Row],[Depreciation_OpEx]]+Alice_Master_Analysis_View[[#This Row],[Sortie_60_energy_OpEx]]+val_ground_ops)</f>
        <v>1644.2059183248109</v>
      </c>
      <c r="S79" s="1">
        <f>Alice_Master_Analysis_View[[#This Row],[Net_Profit_60]]/Alice_Master_Analysis_View[[#This Row],[Revenue]]*(60/75)</f>
        <v>0.32461495918206368</v>
      </c>
      <c r="T79" s="1">
        <f>(Alice_Master_Analysis_View[[#This Row],[Net_Profit_75]]-Alice_Master_Analysis_View[[#This Row],[Net_Profit_60]])/Alice_Master_Analysis_View[[#This Row],[Net_Profit_75]]</f>
        <v>0.3217241231304484</v>
      </c>
      <c r="U79" s="1">
        <f>Alice_Master_Analysis_View[[#This Row],[Net_Profit_60]]/(Alice_Master_Analysis_View[[#This Row],[Start_SoC]]-Alice_Master_Analysis_View[[#This Row],[End_SoC]])/100*850</f>
        <v>156.91218971894924</v>
      </c>
    </row>
    <row r="80" spans="1:21" x14ac:dyDescent="0.2">
      <c r="A80" s="1" t="s">
        <v>81</v>
      </c>
      <c r="B80">
        <v>99.085000000000008</v>
      </c>
      <c r="C80">
        <v>0.50283333333333335</v>
      </c>
      <c r="D80">
        <v>1.3144288888888891</v>
      </c>
      <c r="E80">
        <v>21.134266666666662</v>
      </c>
      <c r="F80">
        <v>1126.9644060937735</v>
      </c>
      <c r="G80">
        <v>-2.9766036556781739</v>
      </c>
      <c r="H80" s="1" t="s">
        <v>5</v>
      </c>
      <c r="I80" s="1" t="s">
        <v>133</v>
      </c>
      <c r="J80">
        <v>1</v>
      </c>
      <c r="K80">
        <f>(Alice_Master_Analysis_View[[#This Row],[Start_SoC]]-Alice_Master_Analysis_View[[#This Row],[End_SoC]])/100*val_capacity*val_elec_rate*val_charging_loss</f>
        <v>168.93040080000006</v>
      </c>
      <c r="L80" s="1">
        <f>(val_battery_cost / val_cycle) * (1 + (Alice_Master_Analysis_View[[#This Row],[Payload(lbs)]] / val_max_payload) * val_stress_factor)</f>
        <v>259.62916947552139</v>
      </c>
      <c r="M80" s="1">
        <f>(Alice_Master_Analysis_View[[#This Row],[Sortie_75_energy_OpEx]]+Alice_Master_Analysis_View[[#This Row],[Depreciation_OpEx]]+val_ground_ops)</f>
        <v>1628.5595702755213</v>
      </c>
      <c r="N80" s="1">
        <f>Alice_Master_Analysis_View[[#This Row],[Payload(lbs)]]*val_yield_rate</f>
        <v>2535.6699137109904</v>
      </c>
      <c r="O80" s="1">
        <f>Alice_Master_Analysis_View[[#This Row],[Revenue]]-Alice_Master_Analysis_View[[#This Row],[Total_OpEx_75]]</f>
        <v>907.11034343546908</v>
      </c>
      <c r="P80" s="1">
        <f>Alice_Master_Analysis_View[[#This Row],[Net_Profit_75]]/Alice_Master_Analysis_View[[#This Row],[Revenue]]</f>
        <v>0.35773991659186416</v>
      </c>
      <c r="Q80" s="1">
        <f>(Alice_Master_Analysis_View[[#This Row],[Start_SoC]]-(Alice_Master_Analysis_View[[#This Row],[Start_SoC]]-Alice_Master_Analysis_View[[#This Row],[Avg_Burn_rate_per_min]]*60))/100*val_capacity*val_elec_rate*val_charging_loss</f>
        <v>135.14432064000002</v>
      </c>
      <c r="R80" s="1">
        <f>Alice_Master_Analysis_View[[#This Row],[Revenue]]*60/75-(Alice_Master_Analysis_View[[#This Row],[Depreciation_OpEx]]+Alice_Master_Analysis_View[[#This Row],[Sortie_60_energy_OpEx]]+val_ground_ops)</f>
        <v>433.76244085327107</v>
      </c>
      <c r="S80" s="1">
        <f>Alice_Master_Analysis_View[[#This Row],[Net_Profit_60]]/Alice_Master_Analysis_View[[#This Row],[Revenue]]*(60/75)</f>
        <v>0.13685139016172759</v>
      </c>
      <c r="T80" s="1">
        <f>(Alice_Master_Analysis_View[[#This Row],[Net_Profit_75]]-Alice_Master_Analysis_View[[#This Row],[Net_Profit_60]])/Alice_Master_Analysis_View[[#This Row],[Net_Profit_75]]</f>
        <v>0.52181954048666568</v>
      </c>
      <c r="U80" s="1">
        <f>Alice_Master_Analysis_View[[#This Row],[Net_Profit_60]]/(Alice_Master_Analysis_View[[#This Row],[Start_SoC]]-Alice_Master_Analysis_View[[#This Row],[End_SoC]])/100*850</f>
        <v>37.40007824862986</v>
      </c>
    </row>
    <row r="81" spans="1:21" x14ac:dyDescent="0.2">
      <c r="A81" s="1" t="s">
        <v>82</v>
      </c>
      <c r="B81">
        <v>99.067999999999998</v>
      </c>
      <c r="C81">
        <v>0</v>
      </c>
      <c r="D81">
        <v>1.3209066666666667</v>
      </c>
      <c r="E81">
        <v>20.745599999999996</v>
      </c>
      <c r="F81">
        <v>2059.2087538594783</v>
      </c>
      <c r="G81">
        <v>39.458119951540439</v>
      </c>
      <c r="H81" s="1" t="s">
        <v>5</v>
      </c>
      <c r="I81" s="1" t="s">
        <v>133</v>
      </c>
      <c r="J81">
        <v>1</v>
      </c>
      <c r="K81">
        <f>(Alice_Master_Analysis_View[[#This Row],[Start_SoC]]-Alice_Master_Analysis_View[[#This Row],[End_SoC]])/100*val_capacity*val_elec_rate*val_charging_loss</f>
        <v>169.76292480000001</v>
      </c>
      <c r="L81" s="1">
        <f>(val_battery_cost / val_cycle) * (1 + (Alice_Master_Analysis_View[[#This Row],[Payload(lbs)]] / val_max_payload) * val_stress_factor)</f>
        <v>281.38153759005451</v>
      </c>
      <c r="M81" s="1">
        <f>(Alice_Master_Analysis_View[[#This Row],[Sortie_75_energy_OpEx]]+Alice_Master_Analysis_View[[#This Row],[Depreciation_OpEx]]+val_ground_ops)</f>
        <v>1651.1444623900545</v>
      </c>
      <c r="N81" s="1">
        <f>Alice_Master_Analysis_View[[#This Row],[Payload(lbs)]]*val_yield_rate</f>
        <v>4633.2196961838263</v>
      </c>
      <c r="O81" s="1">
        <f>Alice_Master_Analysis_View[[#This Row],[Revenue]]-Alice_Master_Analysis_View[[#This Row],[Total_OpEx_75]]</f>
        <v>2982.075233793772</v>
      </c>
      <c r="P81" s="1">
        <f>Alice_Master_Analysis_View[[#This Row],[Net_Profit_75]]/Alice_Master_Analysis_View[[#This Row],[Revenue]]</f>
        <v>0.64362914546227379</v>
      </c>
      <c r="Q81" s="1">
        <f>(Alice_Master_Analysis_View[[#This Row],[Start_SoC]]-(Alice_Master_Analysis_View[[#This Row],[Start_SoC]]-Alice_Master_Analysis_View[[#This Row],[Avg_Burn_rate_per_min]]*60))/100*val_capacity*val_elec_rate*val_charging_loss</f>
        <v>135.81033984000001</v>
      </c>
      <c r="R81" s="1">
        <f>Alice_Master_Analysis_View[[#This Row],[Revenue]]*60/75-(Alice_Master_Analysis_View[[#This Row],[Depreciation_OpEx]]+Alice_Master_Analysis_View[[#This Row],[Sortie_60_energy_OpEx]]+val_ground_ops)</f>
        <v>2089.3838795170068</v>
      </c>
      <c r="S81" s="1">
        <f>Alice_Master_Analysis_View[[#This Row],[Net_Profit_60]]/Alice_Master_Analysis_View[[#This Row],[Revenue]]*(60/75)</f>
        <v>0.36076577698017437</v>
      </c>
      <c r="T81" s="1">
        <f>(Alice_Master_Analysis_View[[#This Row],[Net_Profit_75]]-Alice_Master_Analysis_View[[#This Row],[Net_Profit_60]])/Alice_Master_Analysis_View[[#This Row],[Net_Profit_75]]</f>
        <v>0.29935239197204644</v>
      </c>
      <c r="U81" s="1">
        <f>Alice_Master_Analysis_View[[#This Row],[Net_Profit_60]]/(Alice_Master_Analysis_View[[#This Row],[Start_SoC]]-Alice_Master_Analysis_View[[#This Row],[End_SoC]])/100*850</f>
        <v>179.26841135275325</v>
      </c>
    </row>
    <row r="82" spans="1:21" x14ac:dyDescent="0.2">
      <c r="A82" s="1" t="s">
        <v>83</v>
      </c>
      <c r="B82">
        <v>99.096999999999994</v>
      </c>
      <c r="C82">
        <v>10.106833333333332</v>
      </c>
      <c r="D82">
        <v>1.1865355555555555</v>
      </c>
      <c r="E82">
        <v>28.807866666666669</v>
      </c>
      <c r="F82">
        <v>1677.2954300586475</v>
      </c>
      <c r="G82">
        <v>37.389793172127661</v>
      </c>
      <c r="H82" s="1" t="s">
        <v>2</v>
      </c>
      <c r="I82" s="1" t="s">
        <v>133</v>
      </c>
      <c r="J82">
        <v>1</v>
      </c>
      <c r="K82">
        <f>(Alice_Master_Analysis_View[[#This Row],[Start_SoC]]-Alice_Master_Analysis_View[[#This Row],[End_SoC]])/100*val_capacity*val_elec_rate*val_charging_loss</f>
        <v>152.49354960000002</v>
      </c>
      <c r="L82" s="1">
        <f>(val_battery_cost / val_cycle) * (1 + (Alice_Master_Analysis_View[[#This Row],[Payload(lbs)]] / val_max_payload) * val_stress_factor)</f>
        <v>272.47022670136846</v>
      </c>
      <c r="M82" s="1">
        <f>(Alice_Master_Analysis_View[[#This Row],[Sortie_75_energy_OpEx]]+Alice_Master_Analysis_View[[#This Row],[Depreciation_OpEx]]+val_ground_ops)</f>
        <v>1624.9637763013684</v>
      </c>
      <c r="N82" s="1">
        <f>Alice_Master_Analysis_View[[#This Row],[Payload(lbs)]]*val_yield_rate</f>
        <v>3773.914717631957</v>
      </c>
      <c r="O82" s="1">
        <f>Alice_Master_Analysis_View[[#This Row],[Revenue]]-Alice_Master_Analysis_View[[#This Row],[Total_OpEx_75]]</f>
        <v>2148.9509413305886</v>
      </c>
      <c r="P82" s="1">
        <f>Alice_Master_Analysis_View[[#This Row],[Net_Profit_75]]/Alice_Master_Analysis_View[[#This Row],[Revenue]]</f>
        <v>0.56942223185133467</v>
      </c>
      <c r="Q82" s="1">
        <f>(Alice_Master_Analysis_View[[#This Row],[Start_SoC]]-(Alice_Master_Analysis_View[[#This Row],[Start_SoC]]-Alice_Master_Analysis_View[[#This Row],[Avg_Burn_rate_per_min]]*60))/100*val_capacity*val_elec_rate*val_charging_loss</f>
        <v>121.99483968</v>
      </c>
      <c r="R82" s="1">
        <f>Alice_Master_Analysis_View[[#This Row],[Revenue]]*60/75-(Alice_Master_Analysis_View[[#This Row],[Depreciation_OpEx]]+Alice_Master_Analysis_View[[#This Row],[Sortie_60_energy_OpEx]]+val_ground_ops)</f>
        <v>1424.6667077241971</v>
      </c>
      <c r="S82" s="1">
        <f>Alice_Master_Analysis_View[[#This Row],[Net_Profit_60]]/Alice_Master_Analysis_View[[#This Row],[Revenue]]*(60/75)</f>
        <v>0.30200294692788227</v>
      </c>
      <c r="T82" s="1">
        <f>(Alice_Master_Analysis_View[[#This Row],[Net_Profit_75]]-Alice_Master_Analysis_View[[#This Row],[Net_Profit_60]])/Alice_Master_Analysis_View[[#This Row],[Net_Profit_75]]</f>
        <v>0.33704084149912183</v>
      </c>
      <c r="U82" s="1">
        <f>Alice_Master_Analysis_View[[#This Row],[Net_Profit_60]]/(Alice_Master_Analysis_View[[#This Row],[Start_SoC]]-Alice_Master_Analysis_View[[#This Row],[End_SoC]])/100*850</f>
        <v>136.07870924677832</v>
      </c>
    </row>
    <row r="83" spans="1:21" x14ac:dyDescent="0.2">
      <c r="A83" s="1" t="s">
        <v>84</v>
      </c>
      <c r="B83">
        <v>99.181666666666658</v>
      </c>
      <c r="C83">
        <v>14.9155</v>
      </c>
      <c r="D83">
        <v>1.1235488888888889</v>
      </c>
      <c r="E83">
        <v>32.587066666666658</v>
      </c>
      <c r="F83">
        <v>742.65554479647471</v>
      </c>
      <c r="G83">
        <v>28.423573843768807</v>
      </c>
      <c r="H83" s="1" t="s">
        <v>2</v>
      </c>
      <c r="I83" s="1" t="s">
        <v>133</v>
      </c>
      <c r="J83">
        <v>1</v>
      </c>
      <c r="K83">
        <f>(Alice_Master_Analysis_View[[#This Row],[Start_SoC]]-Alice_Master_Analysis_View[[#This Row],[End_SoC]])/100*val_capacity*val_elec_rate*val_charging_loss</f>
        <v>144.39850320000002</v>
      </c>
      <c r="L83" s="1">
        <f>(val_battery_cost / val_cycle) * (1 + (Alice_Master_Analysis_View[[#This Row],[Payload(lbs)]] / val_max_payload) * val_stress_factor)</f>
        <v>250.66196271191777</v>
      </c>
      <c r="M83" s="1">
        <f>(Alice_Master_Analysis_View[[#This Row],[Sortie_75_energy_OpEx]]+Alice_Master_Analysis_View[[#This Row],[Depreciation_OpEx]]+val_ground_ops)</f>
        <v>1595.0604659119178</v>
      </c>
      <c r="N83" s="1">
        <f>Alice_Master_Analysis_View[[#This Row],[Payload(lbs)]]*val_yield_rate</f>
        <v>1670.9749757920681</v>
      </c>
      <c r="O83" s="1">
        <f>Alice_Master_Analysis_View[[#This Row],[Revenue]]-Alice_Master_Analysis_View[[#This Row],[Total_OpEx_75]]</f>
        <v>75.914509880150263</v>
      </c>
      <c r="P83" s="1">
        <f>Alice_Master_Analysis_View[[#This Row],[Net_Profit_75]]/Alice_Master_Analysis_View[[#This Row],[Revenue]]</f>
        <v>4.5431266763385013E-2</v>
      </c>
      <c r="Q83" s="1">
        <f>(Alice_Master_Analysis_View[[#This Row],[Start_SoC]]-(Alice_Master_Analysis_View[[#This Row],[Start_SoC]]-Alice_Master_Analysis_View[[#This Row],[Avg_Burn_rate_per_min]]*60))/100*val_capacity*val_elec_rate*val_charging_loss</f>
        <v>115.51880256000003</v>
      </c>
      <c r="R83" s="1">
        <f>Alice_Master_Analysis_View[[#This Row],[Revenue]]*60/75-(Alice_Master_Analysis_View[[#This Row],[Depreciation_OpEx]]+Alice_Master_Analysis_View[[#This Row],[Sortie_60_energy_OpEx]]+val_ground_ops)</f>
        <v>-229.4007846382633</v>
      </c>
      <c r="S83" s="1">
        <f>Alice_Master_Analysis_View[[#This Row],[Net_Profit_60]]/Alice_Master_Analysis_View[[#This Row],[Revenue]]*(60/75)</f>
        <v>-0.10982847162245445</v>
      </c>
      <c r="T83" s="1">
        <f>(Alice_Master_Analysis_View[[#This Row],[Net_Profit_75]]-Alice_Master_Analysis_View[[#This Row],[Net_Profit_60]])/Alice_Master_Analysis_View[[#This Row],[Net_Profit_75]]</f>
        <v>4.021830543336562</v>
      </c>
      <c r="U83" s="1">
        <f>Alice_Master_Analysis_View[[#This Row],[Net_Profit_60]]/(Alice_Master_Analysis_View[[#This Row],[Start_SoC]]-Alice_Master_Analysis_View[[#This Row],[End_SoC]])/100*850</f>
        <v>-23.139852523949767</v>
      </c>
    </row>
    <row r="84" spans="1:21" x14ac:dyDescent="0.2">
      <c r="A84" s="1" t="s">
        <v>85</v>
      </c>
      <c r="B84">
        <v>99.135000000000005</v>
      </c>
      <c r="C84">
        <v>10.129666666666667</v>
      </c>
      <c r="D84">
        <v>1.1867377777777779</v>
      </c>
      <c r="E84">
        <v>28.795733333333331</v>
      </c>
      <c r="F84">
        <v>766.25739787025452</v>
      </c>
      <c r="G84">
        <v>6.7713868136029802</v>
      </c>
      <c r="H84" s="1" t="s">
        <v>2</v>
      </c>
      <c r="I84" s="1" t="s">
        <v>133</v>
      </c>
      <c r="J84">
        <v>1</v>
      </c>
      <c r="K84">
        <f>(Alice_Master_Analysis_View[[#This Row],[Start_SoC]]-Alice_Master_Analysis_View[[#This Row],[End_SoC]])/100*val_capacity*val_elec_rate*val_charging_loss</f>
        <v>152.5195392</v>
      </c>
      <c r="L84" s="1">
        <f>(val_battery_cost / val_cycle) * (1 + (Alice_Master_Analysis_View[[#This Row],[Payload(lbs)]] / val_max_payload) * val_stress_factor)</f>
        <v>251.21267261697258</v>
      </c>
      <c r="M84" s="1">
        <f>(Alice_Master_Analysis_View[[#This Row],[Sortie_75_energy_OpEx]]+Alice_Master_Analysis_View[[#This Row],[Depreciation_OpEx]]+val_ground_ops)</f>
        <v>1603.7322118169727</v>
      </c>
      <c r="N84" s="1">
        <f>Alice_Master_Analysis_View[[#This Row],[Payload(lbs)]]*val_yield_rate</f>
        <v>1724.0791452080728</v>
      </c>
      <c r="O84" s="1">
        <f>Alice_Master_Analysis_View[[#This Row],[Revenue]]-Alice_Master_Analysis_View[[#This Row],[Total_OpEx_75]]</f>
        <v>120.34693339110004</v>
      </c>
      <c r="P84" s="1">
        <f>Alice_Master_Analysis_View[[#This Row],[Net_Profit_75]]/Alice_Master_Analysis_View[[#This Row],[Revenue]]</f>
        <v>6.9803601375026086E-2</v>
      </c>
      <c r="Q84" s="1">
        <f>(Alice_Master_Analysis_View[[#This Row],[Start_SoC]]-(Alice_Master_Analysis_View[[#This Row],[Start_SoC]]-Alice_Master_Analysis_View[[#This Row],[Avg_Burn_rate_per_min]]*60))/100*val_capacity*val_elec_rate*val_charging_loss</f>
        <v>122.01563136</v>
      </c>
      <c r="R84" s="1">
        <f>Alice_Master_Analysis_View[[#This Row],[Revenue]]*60/75-(Alice_Master_Analysis_View[[#This Row],[Depreciation_OpEx]]+Alice_Master_Analysis_View[[#This Row],[Sortie_60_energy_OpEx]]+val_ground_ops)</f>
        <v>-193.96498781051446</v>
      </c>
      <c r="S84" s="1">
        <f>Alice_Master_Analysis_View[[#This Row],[Net_Profit_60]]/Alice_Master_Analysis_View[[#This Row],[Revenue]]*(60/75)</f>
        <v>-9.0002823060471762E-2</v>
      </c>
      <c r="T84" s="1">
        <f>(Alice_Master_Analysis_View[[#This Row],[Net_Profit_75]]-Alice_Master_Analysis_View[[#This Row],[Net_Profit_60]])/Alice_Master_Analysis_View[[#This Row],[Net_Profit_75]]</f>
        <v>2.6117152497785097</v>
      </c>
      <c r="U84" s="1">
        <f>Alice_Master_Analysis_View[[#This Row],[Net_Profit_60]]/(Alice_Master_Analysis_View[[#This Row],[Start_SoC]]-Alice_Master_Analysis_View[[#This Row],[End_SoC]])/100*850</f>
        <v>-18.523635996225387</v>
      </c>
    </row>
    <row r="85" spans="1:21" x14ac:dyDescent="0.2">
      <c r="A85" s="1" t="s">
        <v>86</v>
      </c>
      <c r="B85">
        <v>99.147333333333336</v>
      </c>
      <c r="C85">
        <v>10.554499999999999</v>
      </c>
      <c r="D85">
        <v>1.1812377777777778</v>
      </c>
      <c r="E85">
        <v>29.125733333333329</v>
      </c>
      <c r="F85">
        <v>1028.9324465132163</v>
      </c>
      <c r="G85">
        <v>33.92211265998337</v>
      </c>
      <c r="H85" s="1" t="s">
        <v>5</v>
      </c>
      <c r="I85" s="1" t="s">
        <v>133</v>
      </c>
      <c r="J85">
        <v>1</v>
      </c>
      <c r="K85">
        <f>(Alice_Master_Analysis_View[[#This Row],[Start_SoC]]-Alice_Master_Analysis_View[[#This Row],[End_SoC]])/100*val_capacity*val_elec_rate*val_charging_loss</f>
        <v>151.81267920000002</v>
      </c>
      <c r="L85" s="1">
        <f>(val_battery_cost / val_cycle) * (1 + (Alice_Master_Analysis_View[[#This Row],[Payload(lbs)]] / val_max_payload) * val_stress_factor)</f>
        <v>257.34175708530836</v>
      </c>
      <c r="M85" s="1">
        <f>(Alice_Master_Analysis_View[[#This Row],[Sortie_75_energy_OpEx]]+Alice_Master_Analysis_View[[#This Row],[Depreciation_OpEx]]+val_ground_ops)</f>
        <v>1609.1544362853083</v>
      </c>
      <c r="N85" s="1">
        <f>Alice_Master_Analysis_View[[#This Row],[Payload(lbs)]]*val_yield_rate</f>
        <v>2315.0980046547365</v>
      </c>
      <c r="O85" s="1">
        <f>Alice_Master_Analysis_View[[#This Row],[Revenue]]-Alice_Master_Analysis_View[[#This Row],[Total_OpEx_75]]</f>
        <v>705.94356836942825</v>
      </c>
      <c r="P85" s="1">
        <f>Alice_Master_Analysis_View[[#This Row],[Net_Profit_75]]/Alice_Master_Analysis_View[[#This Row],[Revenue]]</f>
        <v>0.30493031696716855</v>
      </c>
      <c r="Q85" s="1">
        <f>(Alice_Master_Analysis_View[[#This Row],[Start_SoC]]-(Alice_Master_Analysis_View[[#This Row],[Start_SoC]]-Alice_Master_Analysis_View[[#This Row],[Avg_Burn_rate_per_min]]*60))/100*val_capacity*val_elec_rate*val_charging_loss</f>
        <v>121.45014336000001</v>
      </c>
      <c r="R85" s="1">
        <f>Alice_Master_Analysis_View[[#This Row],[Revenue]]*60/75-(Alice_Master_Analysis_View[[#This Row],[Depreciation_OpEx]]+Alice_Master_Analysis_View[[#This Row],[Sortie_60_energy_OpEx]]+val_ground_ops)</f>
        <v>273.28650327848095</v>
      </c>
      <c r="S85" s="1">
        <f>Alice_Master_Analysis_View[[#This Row],[Net_Profit_60]]/Alice_Master_Analysis_View[[#This Row],[Revenue]]*(60/75)</f>
        <v>9.4436262388550657E-2</v>
      </c>
      <c r="T85" s="1">
        <f>(Alice_Master_Analysis_View[[#This Row],[Net_Profit_75]]-Alice_Master_Analysis_View[[#This Row],[Net_Profit_60]])/Alice_Master_Analysis_View[[#This Row],[Net_Profit_75]]</f>
        <v>0.61287769232077338</v>
      </c>
      <c r="U85" s="1">
        <f>Alice_Master_Analysis_View[[#This Row],[Net_Profit_60]]/(Alice_Master_Analysis_View[[#This Row],[Start_SoC]]-Alice_Master_Analysis_View[[#This Row],[End_SoC]])/100*850</f>
        <v>26.220352036004659</v>
      </c>
    </row>
    <row r="86" spans="1:21" x14ac:dyDescent="0.2">
      <c r="A86" s="1" t="s">
        <v>87</v>
      </c>
      <c r="B86">
        <v>99.114999999999995</v>
      </c>
      <c r="C86">
        <v>10.183999999999999</v>
      </c>
      <c r="D86">
        <v>1.1857466666666667</v>
      </c>
      <c r="E86">
        <v>28.855199999999996</v>
      </c>
      <c r="F86">
        <v>1634.7106980545964</v>
      </c>
      <c r="G86">
        <v>17.547493464205644</v>
      </c>
      <c r="H86" s="1" t="s">
        <v>2</v>
      </c>
      <c r="I86" s="1" t="s">
        <v>133</v>
      </c>
      <c r="J86">
        <v>1</v>
      </c>
      <c r="K86">
        <f>(Alice_Master_Analysis_View[[#This Row],[Start_SoC]]-Alice_Master_Analysis_View[[#This Row],[End_SoC]])/100*val_capacity*val_elec_rate*val_charging_loss</f>
        <v>152.39216160000001</v>
      </c>
      <c r="L86" s="1">
        <f>(val_battery_cost / val_cycle) * (1 + (Alice_Master_Analysis_View[[#This Row],[Payload(lbs)]] / val_max_payload) * val_stress_factor)</f>
        <v>271.47658295460724</v>
      </c>
      <c r="M86" s="1">
        <f>(Alice_Master_Analysis_View[[#This Row],[Sortie_75_energy_OpEx]]+Alice_Master_Analysis_View[[#This Row],[Depreciation_OpEx]]+val_ground_ops)</f>
        <v>1623.8687445546072</v>
      </c>
      <c r="N86" s="1">
        <f>Alice_Master_Analysis_View[[#This Row],[Payload(lbs)]]*val_yield_rate</f>
        <v>3678.0990706228417</v>
      </c>
      <c r="O86" s="1">
        <f>Alice_Master_Analysis_View[[#This Row],[Revenue]]-Alice_Master_Analysis_View[[#This Row],[Total_OpEx_75]]</f>
        <v>2054.2303260682347</v>
      </c>
      <c r="P86" s="1">
        <f>Alice_Master_Analysis_View[[#This Row],[Net_Profit_75]]/Alice_Master_Analysis_View[[#This Row],[Revenue]]</f>
        <v>0.55850326122955019</v>
      </c>
      <c r="Q86" s="1">
        <f>(Alice_Master_Analysis_View[[#This Row],[Start_SoC]]-(Alice_Master_Analysis_View[[#This Row],[Start_SoC]]-Alice_Master_Analysis_View[[#This Row],[Avg_Burn_rate_per_min]]*60))/100*val_capacity*val_elec_rate*val_charging_loss</f>
        <v>121.91372928000001</v>
      </c>
      <c r="R86" s="1">
        <f>Alice_Master_Analysis_View[[#This Row],[Revenue]]*60/75-(Alice_Master_Analysis_View[[#This Row],[Depreciation_OpEx]]+Alice_Master_Analysis_View[[#This Row],[Sortie_60_energy_OpEx]]+val_ground_ops)</f>
        <v>1349.0889442636662</v>
      </c>
      <c r="S86" s="1">
        <f>Alice_Master_Analysis_View[[#This Row],[Net_Profit_60]]/Alice_Master_Analysis_View[[#This Row],[Revenue]]*(60/75)</f>
        <v>0.29343177948389831</v>
      </c>
      <c r="T86" s="1">
        <f>(Alice_Master_Analysis_View[[#This Row],[Net_Profit_75]]-Alice_Master_Analysis_View[[#This Row],[Net_Profit_60]])/Alice_Master_Analysis_View[[#This Row],[Net_Profit_75]]</f>
        <v>0.34326305714422894</v>
      </c>
      <c r="U86" s="1">
        <f>Alice_Master_Analysis_View[[#This Row],[Net_Profit_60]]/(Alice_Master_Analysis_View[[#This Row],[Start_SoC]]-Alice_Master_Analysis_View[[#This Row],[End_SoC]])/100*850</f>
        <v>128.94554234452735</v>
      </c>
    </row>
    <row r="87" spans="1:21" x14ac:dyDescent="0.2">
      <c r="A87" s="1" t="s">
        <v>88</v>
      </c>
      <c r="B87">
        <v>99.159166666666664</v>
      </c>
      <c r="C87">
        <v>11.648166666666667</v>
      </c>
      <c r="D87">
        <v>1.1668133333333333</v>
      </c>
      <c r="E87">
        <v>29.991200000000006</v>
      </c>
      <c r="F87">
        <v>561.54091926012302</v>
      </c>
      <c r="G87">
        <v>39.354674974320801</v>
      </c>
      <c r="H87" s="1" t="s">
        <v>2</v>
      </c>
      <c r="I87" s="1" t="s">
        <v>133</v>
      </c>
      <c r="J87">
        <v>1</v>
      </c>
      <c r="K87">
        <f>(Alice_Master_Analysis_View[[#This Row],[Start_SoC]]-Alice_Master_Analysis_View[[#This Row],[End_SoC]])/100*val_capacity*val_elec_rate*val_charging_loss</f>
        <v>149.95884960000001</v>
      </c>
      <c r="L87" s="1">
        <f>(val_battery_cost / val_cycle) * (1 + (Alice_Master_Analysis_View[[#This Row],[Payload(lbs)]] / val_max_payload) * val_stress_factor)</f>
        <v>246.43595478273625</v>
      </c>
      <c r="M87" s="1">
        <f>(Alice_Master_Analysis_View[[#This Row],[Sortie_75_energy_OpEx]]+Alice_Master_Analysis_View[[#This Row],[Depreciation_OpEx]]+val_ground_ops)</f>
        <v>1596.3948043827363</v>
      </c>
      <c r="N87" s="1">
        <f>Alice_Master_Analysis_View[[#This Row],[Payload(lbs)]]*val_yield_rate</f>
        <v>1263.4670683352767</v>
      </c>
      <c r="O87" s="1">
        <f>Alice_Master_Analysis_View[[#This Row],[Revenue]]-Alice_Master_Analysis_View[[#This Row],[Total_OpEx_75]]</f>
        <v>-332.92773604745958</v>
      </c>
      <c r="P87" s="1">
        <f>Alice_Master_Analysis_View[[#This Row],[Net_Profit_75]]/Alice_Master_Analysis_View[[#This Row],[Revenue]]</f>
        <v>-0.26350329533014233</v>
      </c>
      <c r="Q87" s="1">
        <f>(Alice_Master_Analysis_View[[#This Row],[Start_SoC]]-(Alice_Master_Analysis_View[[#This Row],[Start_SoC]]-Alice_Master_Analysis_View[[#This Row],[Avg_Burn_rate_per_min]]*60))/100*val_capacity*val_elec_rate*val_charging_loss</f>
        <v>119.96707968</v>
      </c>
      <c r="R87" s="1">
        <f>Alice_Master_Analysis_View[[#This Row],[Revenue]]*60/75-(Alice_Master_Analysis_View[[#This Row],[Depreciation_OpEx]]+Alice_Master_Analysis_View[[#This Row],[Sortie_60_energy_OpEx]]+val_ground_ops)</f>
        <v>-555.62937979451499</v>
      </c>
      <c r="S87" s="1">
        <f>Alice_Master_Analysis_View[[#This Row],[Net_Profit_60]]/Alice_Master_Analysis_View[[#This Row],[Revenue]]*(60/75)</f>
        <v>-0.35181249672085435</v>
      </c>
      <c r="T87" s="1">
        <f>(Alice_Master_Analysis_View[[#This Row],[Net_Profit_75]]-Alice_Master_Analysis_View[[#This Row],[Net_Profit_60]])/Alice_Master_Analysis_View[[#This Row],[Net_Profit_75]]</f>
        <v>-0.66891886627105412</v>
      </c>
      <c r="U87" s="1">
        <f>Alice_Master_Analysis_View[[#This Row],[Net_Profit_60]]/(Alice_Master_Analysis_View[[#This Row],[Start_SoC]]-Alice_Master_Analysis_View[[#This Row],[End_SoC]])/100*850</f>
        <v>-53.968640836619137</v>
      </c>
    </row>
    <row r="88" spans="1:21" x14ac:dyDescent="0.2">
      <c r="A88" s="1" t="s">
        <v>89</v>
      </c>
      <c r="B88">
        <v>99.039999999999992</v>
      </c>
      <c r="C88">
        <v>0</v>
      </c>
      <c r="D88">
        <v>1.3205333333333333</v>
      </c>
      <c r="E88">
        <v>20.768000000000001</v>
      </c>
      <c r="F88">
        <v>2214.9061532687097</v>
      </c>
      <c r="G88">
        <v>4.5757111183645884</v>
      </c>
      <c r="H88" s="1" t="s">
        <v>2</v>
      </c>
      <c r="I88" s="1" t="s">
        <v>133</v>
      </c>
      <c r="J88">
        <v>1</v>
      </c>
      <c r="K88">
        <f>(Alice_Master_Analysis_View[[#This Row],[Start_SoC]]-Alice_Master_Analysis_View[[#This Row],[End_SoC]])/100*val_capacity*val_elec_rate*val_charging_loss</f>
        <v>169.714944</v>
      </c>
      <c r="L88" s="1">
        <f>(val_battery_cost / val_cycle) * (1 + (Alice_Master_Analysis_View[[#This Row],[Payload(lbs)]] / val_max_payload) * val_stress_factor)</f>
        <v>285.01447690960322</v>
      </c>
      <c r="M88" s="1">
        <f>(Alice_Master_Analysis_View[[#This Row],[Sortie_75_energy_OpEx]]+Alice_Master_Analysis_View[[#This Row],[Depreciation_OpEx]]+val_ground_ops)</f>
        <v>1654.7294209096033</v>
      </c>
      <c r="N88" s="1">
        <f>Alice_Master_Analysis_View[[#This Row],[Payload(lbs)]]*val_yield_rate</f>
        <v>4983.5388448545964</v>
      </c>
      <c r="O88" s="1">
        <f>Alice_Master_Analysis_View[[#This Row],[Revenue]]-Alice_Master_Analysis_View[[#This Row],[Total_OpEx_75]]</f>
        <v>3328.8094239449929</v>
      </c>
      <c r="P88" s="1">
        <f>Alice_Master_Analysis_View[[#This Row],[Net_Profit_75]]/Alice_Master_Analysis_View[[#This Row],[Revenue]]</f>
        <v>0.66796096660948512</v>
      </c>
      <c r="Q88" s="1">
        <f>(Alice_Master_Analysis_View[[#This Row],[Start_SoC]]-(Alice_Master_Analysis_View[[#This Row],[Start_SoC]]-Alice_Master_Analysis_View[[#This Row],[Avg_Burn_rate_per_min]]*60))/100*val_capacity*val_elec_rate*val_charging_loss</f>
        <v>135.77195520000001</v>
      </c>
      <c r="R88" s="1">
        <f>Alice_Master_Analysis_View[[#This Row],[Revenue]]*60/75-(Alice_Master_Analysis_View[[#This Row],[Depreciation_OpEx]]+Alice_Master_Analysis_View[[#This Row],[Sortie_60_energy_OpEx]]+val_ground_ops)</f>
        <v>2366.0446437740738</v>
      </c>
      <c r="S88" s="1">
        <f>Alice_Master_Analysis_View[[#This Row],[Net_Profit_60]]/Alice_Master_Analysis_View[[#This Row],[Revenue]]*(60/75)</f>
        <v>0.37981759025989614</v>
      </c>
      <c r="T88" s="1">
        <f>(Alice_Master_Analysis_View[[#This Row],[Net_Profit_75]]-Alice_Master_Analysis_View[[#This Row],[Net_Profit_60]])/Alice_Master_Analysis_View[[#This Row],[Net_Profit_75]]</f>
        <v>0.28922195823092223</v>
      </c>
      <c r="U88" s="1">
        <f>Alice_Master_Analysis_View[[#This Row],[Net_Profit_60]]/(Alice_Master_Analysis_View[[#This Row],[Start_SoC]]-Alice_Master_Analysis_View[[#This Row],[End_SoC]])/100*850</f>
        <v>203.06320145476204</v>
      </c>
    </row>
    <row r="89" spans="1:21" x14ac:dyDescent="0.2">
      <c r="A89" s="1" t="s">
        <v>90</v>
      </c>
      <c r="B89">
        <v>99.165333333333336</v>
      </c>
      <c r="C89">
        <v>12.483833333333333</v>
      </c>
      <c r="D89">
        <v>1.1557533333333334</v>
      </c>
      <c r="E89">
        <v>30.654799999999994</v>
      </c>
      <c r="F89">
        <v>869.50862383998469</v>
      </c>
      <c r="G89">
        <v>18.67423264699508</v>
      </c>
      <c r="H89" s="1" t="s">
        <v>2</v>
      </c>
      <c r="I89" s="1" t="s">
        <v>133</v>
      </c>
      <c r="J89">
        <v>1</v>
      </c>
      <c r="K89">
        <f>(Alice_Master_Analysis_View[[#This Row],[Start_SoC]]-Alice_Master_Analysis_View[[#This Row],[End_SoC]])/100*val_capacity*val_elec_rate*val_charging_loss</f>
        <v>148.53741840000001</v>
      </c>
      <c r="L89" s="1">
        <f>(val_battery_cost / val_cycle) * (1 + (Alice_Master_Analysis_View[[#This Row],[Payload(lbs)]] / val_max_payload) * val_stress_factor)</f>
        <v>253.62186788959966</v>
      </c>
      <c r="M89" s="1">
        <f>(Alice_Master_Analysis_View[[#This Row],[Sortie_75_energy_OpEx]]+Alice_Master_Analysis_View[[#This Row],[Depreciation_OpEx]]+val_ground_ops)</f>
        <v>1602.1592862895995</v>
      </c>
      <c r="N89" s="1">
        <f>Alice_Master_Analysis_View[[#This Row],[Payload(lbs)]]*val_yield_rate</f>
        <v>1956.3944036399655</v>
      </c>
      <c r="O89" s="1">
        <f>Alice_Master_Analysis_View[[#This Row],[Revenue]]-Alice_Master_Analysis_View[[#This Row],[Total_OpEx_75]]</f>
        <v>354.23511735036595</v>
      </c>
      <c r="P89" s="1">
        <f>Alice_Master_Analysis_View[[#This Row],[Net_Profit_75]]/Alice_Master_Analysis_View[[#This Row],[Revenue]]</f>
        <v>0.18106528862037968</v>
      </c>
      <c r="Q89" s="1">
        <f>(Alice_Master_Analysis_View[[#This Row],[Start_SoC]]-(Alice_Master_Analysis_View[[#This Row],[Start_SoC]]-Alice_Master_Analysis_View[[#This Row],[Avg_Burn_rate_per_min]]*60))/100*val_capacity*val_elec_rate*val_charging_loss</f>
        <v>118.82993472000001</v>
      </c>
      <c r="R89" s="1">
        <f>Alice_Master_Analysis_View[[#This Row],[Revenue]]*60/75-(Alice_Master_Analysis_View[[#This Row],[Depreciation_OpEx]]+Alice_Master_Analysis_View[[#This Row],[Sortie_60_energy_OpEx]]+val_ground_ops)</f>
        <v>-7.336279697627333</v>
      </c>
      <c r="S89" s="1">
        <f>Alice_Master_Analysis_View[[#This Row],[Net_Profit_60]]/Alice_Master_Analysis_View[[#This Row],[Revenue]]*(60/75)</f>
        <v>-2.9999184965885544E-3</v>
      </c>
      <c r="T89" s="1">
        <f>(Alice_Master_Analysis_View[[#This Row],[Net_Profit_75]]-Alice_Master_Analysis_View[[#This Row],[Net_Profit_60]])/Alice_Master_Analysis_View[[#This Row],[Net_Profit_75]]</f>
        <v>1.0207101987869012</v>
      </c>
      <c r="U89" s="1">
        <f>Alice_Master_Analysis_View[[#This Row],[Net_Profit_60]]/(Alice_Master_Analysis_View[[#This Row],[Start_SoC]]-Alice_Master_Analysis_View[[#This Row],[End_SoC]])/100*850</f>
        <v>-0.71939661207792127</v>
      </c>
    </row>
    <row r="90" spans="1:21" x14ac:dyDescent="0.2">
      <c r="A90" s="1" t="s">
        <v>91</v>
      </c>
      <c r="B90">
        <v>99.046166666666679</v>
      </c>
      <c r="C90">
        <v>0</v>
      </c>
      <c r="D90">
        <v>1.3206155555555557</v>
      </c>
      <c r="E90">
        <v>20.76306666666666</v>
      </c>
      <c r="F90">
        <v>2078.9038239014872</v>
      </c>
      <c r="G90">
        <v>3.8539239571997106</v>
      </c>
      <c r="H90" s="1" t="s">
        <v>2</v>
      </c>
      <c r="I90" s="1" t="s">
        <v>133</v>
      </c>
      <c r="J90">
        <v>1</v>
      </c>
      <c r="K90">
        <f>(Alice_Master_Analysis_View[[#This Row],[Start_SoC]]-Alice_Master_Analysis_View[[#This Row],[End_SoC]])/100*val_capacity*val_elec_rate*val_charging_loss</f>
        <v>169.72551120000003</v>
      </c>
      <c r="L90" s="1">
        <f>(val_battery_cost / val_cycle) * (1 + (Alice_Master_Analysis_View[[#This Row],[Payload(lbs)]] / val_max_payload) * val_stress_factor)</f>
        <v>281.84108922436803</v>
      </c>
      <c r="M90" s="1">
        <f>(Alice_Master_Analysis_View[[#This Row],[Sortie_75_energy_OpEx]]+Alice_Master_Analysis_View[[#This Row],[Depreciation_OpEx]]+val_ground_ops)</f>
        <v>1651.5666004243681</v>
      </c>
      <c r="N90" s="1">
        <f>Alice_Master_Analysis_View[[#This Row],[Payload(lbs)]]*val_yield_rate</f>
        <v>4677.5336037783463</v>
      </c>
      <c r="O90" s="1">
        <f>Alice_Master_Analysis_View[[#This Row],[Revenue]]-Alice_Master_Analysis_View[[#This Row],[Total_OpEx_75]]</f>
        <v>3025.9670033539783</v>
      </c>
      <c r="P90" s="1">
        <f>Alice_Master_Analysis_View[[#This Row],[Net_Profit_75]]/Alice_Master_Analysis_View[[#This Row],[Revenue]]</f>
        <v>0.64691507526738212</v>
      </c>
      <c r="Q90" s="1">
        <f>(Alice_Master_Analysis_View[[#This Row],[Start_SoC]]-(Alice_Master_Analysis_View[[#This Row],[Start_SoC]]-Alice_Master_Analysis_View[[#This Row],[Avg_Burn_rate_per_min]]*60))/100*val_capacity*val_elec_rate*val_charging_loss</f>
        <v>135.78040896000002</v>
      </c>
      <c r="R90" s="1">
        <f>Alice_Master_Analysis_View[[#This Row],[Revenue]]*60/75-(Alice_Master_Analysis_View[[#This Row],[Depreciation_OpEx]]+Alice_Master_Analysis_View[[#This Row],[Sortie_60_energy_OpEx]]+val_ground_ops)</f>
        <v>2124.4053848383091</v>
      </c>
      <c r="S90" s="1">
        <f>Alice_Master_Analysis_View[[#This Row],[Net_Profit_60]]/Alice_Master_Analysis_View[[#This Row],[Revenue]]*(60/75)</f>
        <v>0.36333770141123772</v>
      </c>
      <c r="T90" s="1">
        <f>(Alice_Master_Analysis_View[[#This Row],[Net_Profit_75]]-Alice_Master_Analysis_View[[#This Row],[Net_Profit_60]])/Alice_Master_Analysis_View[[#This Row],[Net_Profit_75]]</f>
        <v>0.29794165551586627</v>
      </c>
      <c r="U90" s="1">
        <f>Alice_Master_Analysis_View[[#This Row],[Net_Profit_60]]/(Alice_Master_Analysis_View[[#This Row],[Start_SoC]]-Alice_Master_Analysis_View[[#This Row],[End_SoC]])/100*850</f>
        <v>182.31342391974408</v>
      </c>
    </row>
    <row r="91" spans="1:21" x14ac:dyDescent="0.2">
      <c r="A91" s="1" t="s">
        <v>92</v>
      </c>
      <c r="B91">
        <v>99.086166666666671</v>
      </c>
      <c r="C91">
        <v>1.1531666666666667</v>
      </c>
      <c r="D91">
        <v>1.3057733333333335</v>
      </c>
      <c r="E91">
        <v>21.653599999999997</v>
      </c>
      <c r="F91">
        <v>2188.9085307642313</v>
      </c>
      <c r="G91">
        <v>30.282976198991307</v>
      </c>
      <c r="H91" s="1" t="s">
        <v>2</v>
      </c>
      <c r="I91" s="1" t="s">
        <v>133</v>
      </c>
      <c r="J91">
        <v>1</v>
      </c>
      <c r="K91">
        <f>(Alice_Master_Analysis_View[[#This Row],[Start_SoC]]-Alice_Master_Analysis_View[[#This Row],[End_SoC]])/100*val_capacity*val_elec_rate*val_charging_loss</f>
        <v>167.81798880000002</v>
      </c>
      <c r="L91" s="1">
        <f>(val_battery_cost / val_cycle) * (1 + (Alice_Master_Analysis_View[[#This Row],[Payload(lbs)]] / val_max_payload) * val_stress_factor)</f>
        <v>284.40786571783207</v>
      </c>
      <c r="M91" s="1">
        <f>(Alice_Master_Analysis_View[[#This Row],[Sortie_75_energy_OpEx]]+Alice_Master_Analysis_View[[#This Row],[Depreciation_OpEx]]+val_ground_ops)</f>
        <v>1652.225854517832</v>
      </c>
      <c r="N91" s="1">
        <f>Alice_Master_Analysis_View[[#This Row],[Payload(lbs)]]*val_yield_rate</f>
        <v>4925.0441942195203</v>
      </c>
      <c r="O91" s="1">
        <f>Alice_Master_Analysis_View[[#This Row],[Revenue]]-Alice_Master_Analysis_View[[#This Row],[Total_OpEx_75]]</f>
        <v>3272.8183397016883</v>
      </c>
      <c r="P91" s="1">
        <f>Alice_Master_Analysis_View[[#This Row],[Net_Profit_75]]/Alice_Master_Analysis_View[[#This Row],[Revenue]]</f>
        <v>0.66452567949399632</v>
      </c>
      <c r="Q91" s="1">
        <f>(Alice_Master_Analysis_View[[#This Row],[Start_SoC]]-(Alice_Master_Analysis_View[[#This Row],[Start_SoC]]-Alice_Master_Analysis_View[[#This Row],[Avg_Burn_rate_per_min]]*60))/100*val_capacity*val_elec_rate*val_charging_loss</f>
        <v>134.25439104000003</v>
      </c>
      <c r="R91" s="1">
        <f>Alice_Master_Analysis_View[[#This Row],[Revenue]]*60/75-(Alice_Master_Analysis_View[[#This Row],[Depreciation_OpEx]]+Alice_Master_Analysis_View[[#This Row],[Sortie_60_energy_OpEx]]+val_ground_ops)</f>
        <v>2321.3730986177843</v>
      </c>
      <c r="S91" s="1">
        <f>Alice_Master_Analysis_View[[#This Row],[Net_Profit_60]]/Alice_Master_Analysis_View[[#This Row],[Revenue]]*(60/75)</f>
        <v>0.37707244963890624</v>
      </c>
      <c r="T91" s="1">
        <f>(Alice_Master_Analysis_View[[#This Row],[Net_Profit_75]]-Alice_Master_Analysis_View[[#This Row],[Net_Profit_60]])/Alice_Master_Analysis_View[[#This Row],[Net_Profit_75]]</f>
        <v>0.29071128988192685</v>
      </c>
      <c r="U91" s="1">
        <f>Alice_Master_Analysis_View[[#This Row],[Net_Profit_60]]/(Alice_Master_Analysis_View[[#This Row],[Start_SoC]]-Alice_Master_Analysis_View[[#This Row],[End_SoC]])/100*850</f>
        <v>201.48133252582036</v>
      </c>
    </row>
    <row r="92" spans="1:21" x14ac:dyDescent="0.2">
      <c r="A92" s="1" t="s">
        <v>93</v>
      </c>
      <c r="B92">
        <v>99.117833333333323</v>
      </c>
      <c r="C92">
        <v>10.566166666666668</v>
      </c>
      <c r="D92">
        <v>1.1806888888888887</v>
      </c>
      <c r="E92">
        <v>29.158666666666676</v>
      </c>
      <c r="F92">
        <v>1211.4103231145884</v>
      </c>
      <c r="G92">
        <v>39.976212431176101</v>
      </c>
      <c r="H92" s="1" t="s">
        <v>2</v>
      </c>
      <c r="I92" s="1" t="s">
        <v>133</v>
      </c>
      <c r="J92">
        <v>1</v>
      </c>
      <c r="K92">
        <f>(Alice_Master_Analysis_View[[#This Row],[Start_SoC]]-Alice_Master_Analysis_View[[#This Row],[End_SoC]])/100*val_capacity*val_elec_rate*val_charging_loss</f>
        <v>151.74213599999999</v>
      </c>
      <c r="L92" s="1">
        <f>(val_battery_cost / val_cycle) * (1 + (Alice_Master_Analysis_View[[#This Row],[Payload(lbs)]] / val_max_payload) * val_stress_factor)</f>
        <v>261.59957420600705</v>
      </c>
      <c r="M92" s="1">
        <f>(Alice_Master_Analysis_View[[#This Row],[Sortie_75_energy_OpEx]]+Alice_Master_Analysis_View[[#This Row],[Depreciation_OpEx]]+val_ground_ops)</f>
        <v>1613.3417102060071</v>
      </c>
      <c r="N92" s="1">
        <f>Alice_Master_Analysis_View[[#This Row],[Payload(lbs)]]*val_yield_rate</f>
        <v>2725.6732270078242</v>
      </c>
      <c r="O92" s="1">
        <f>Alice_Master_Analysis_View[[#This Row],[Revenue]]-Alice_Master_Analysis_View[[#This Row],[Total_OpEx_75]]</f>
        <v>1112.3315168018171</v>
      </c>
      <c r="P92" s="1">
        <f>Alice_Master_Analysis_View[[#This Row],[Net_Profit_75]]/Alice_Master_Analysis_View[[#This Row],[Revenue]]</f>
        <v>0.40809422999796158</v>
      </c>
      <c r="Q92" s="1">
        <f>(Alice_Master_Analysis_View[[#This Row],[Start_SoC]]-(Alice_Master_Analysis_View[[#This Row],[Start_SoC]]-Alice_Master_Analysis_View[[#This Row],[Avg_Burn_rate_per_min]]*60))/100*val_capacity*val_elec_rate*val_charging_loss</f>
        <v>121.39370879999998</v>
      </c>
      <c r="R92" s="1">
        <f>Alice_Master_Analysis_View[[#This Row],[Revenue]]*60/75-(Alice_Master_Analysis_View[[#This Row],[Depreciation_OpEx]]+Alice_Master_Analysis_View[[#This Row],[Sortie_60_energy_OpEx]]+val_ground_ops)</f>
        <v>597.54529860025241</v>
      </c>
      <c r="S92" s="1">
        <f>Alice_Master_Analysis_View[[#This Row],[Net_Profit_60]]/Alice_Master_Analysis_View[[#This Row],[Revenue]]*(60/75)</f>
        <v>0.17538281337010386</v>
      </c>
      <c r="T92" s="1">
        <f>(Alice_Master_Analysis_View[[#This Row],[Net_Profit_75]]-Alice_Master_Analysis_View[[#This Row],[Net_Profit_60]])/Alice_Master_Analysis_View[[#This Row],[Net_Profit_75]]</f>
        <v>0.46279927380074731</v>
      </c>
      <c r="U92" s="1">
        <f>Alice_Master_Analysis_View[[#This Row],[Net_Profit_60]]/(Alice_Master_Analysis_View[[#This Row],[Start_SoC]]-Alice_Master_Analysis_View[[#This Row],[End_SoC]])/100*850</f>
        <v>57.357870600238812</v>
      </c>
    </row>
    <row r="93" spans="1:21" x14ac:dyDescent="0.2">
      <c r="A93" s="1" t="s">
        <v>94</v>
      </c>
      <c r="B93">
        <v>99.165166666666664</v>
      </c>
      <c r="C93">
        <v>12.474</v>
      </c>
      <c r="D93">
        <v>1.155882222222222</v>
      </c>
      <c r="E93">
        <v>30.647066666666674</v>
      </c>
      <c r="F93">
        <v>1174.3330897361138</v>
      </c>
      <c r="G93">
        <v>24.748571326303932</v>
      </c>
      <c r="H93" s="1" t="s">
        <v>2</v>
      </c>
      <c r="I93" s="1" t="s">
        <v>133</v>
      </c>
      <c r="J93">
        <v>1</v>
      </c>
      <c r="K93">
        <f>(Alice_Master_Analysis_View[[#This Row],[Start_SoC]]-Alice_Master_Analysis_View[[#This Row],[End_SoC]])/100*val_capacity*val_elec_rate*val_charging_loss</f>
        <v>148.5539832</v>
      </c>
      <c r="L93" s="1">
        <f>(val_battery_cost / val_cycle) * (1 + (Alice_Master_Analysis_View[[#This Row],[Payload(lbs)]] / val_max_payload) * val_stress_factor)</f>
        <v>260.73443876050936</v>
      </c>
      <c r="M93" s="1">
        <f>(Alice_Master_Analysis_View[[#This Row],[Sortie_75_energy_OpEx]]+Alice_Master_Analysis_View[[#This Row],[Depreciation_OpEx]]+val_ground_ops)</f>
        <v>1609.2884219605094</v>
      </c>
      <c r="N93" s="1">
        <f>Alice_Master_Analysis_View[[#This Row],[Payload(lbs)]]*val_yield_rate</f>
        <v>2642.2494519062561</v>
      </c>
      <c r="O93" s="1">
        <f>Alice_Master_Analysis_View[[#This Row],[Revenue]]-Alice_Master_Analysis_View[[#This Row],[Total_OpEx_75]]</f>
        <v>1032.9610299457468</v>
      </c>
      <c r="P93" s="1">
        <f>Alice_Master_Analysis_View[[#This Row],[Net_Profit_75]]/Alice_Master_Analysis_View[[#This Row],[Revenue]]</f>
        <v>0.39094001105781856</v>
      </c>
      <c r="Q93" s="1">
        <f>(Alice_Master_Analysis_View[[#This Row],[Start_SoC]]-(Alice_Master_Analysis_View[[#This Row],[Start_SoC]]-Alice_Master_Analysis_View[[#This Row],[Avg_Burn_rate_per_min]]*60))/100*val_capacity*val_elec_rate*val_charging_loss</f>
        <v>118.84318655999999</v>
      </c>
      <c r="R93" s="1">
        <f>Alice_Master_Analysis_View[[#This Row],[Revenue]]*60/75-(Alice_Master_Analysis_View[[#This Row],[Depreciation_OpEx]]+Alice_Master_Analysis_View[[#This Row],[Sortie_60_energy_OpEx]]+val_ground_ops)</f>
        <v>534.22193620449571</v>
      </c>
      <c r="S93" s="1">
        <f>Alice_Master_Analysis_View[[#This Row],[Net_Profit_60]]/Alice_Master_Analysis_View[[#This Row],[Revenue]]*(60/75)</f>
        <v>0.16174761571253773</v>
      </c>
      <c r="T93" s="1">
        <f>(Alice_Master_Analysis_View[[#This Row],[Net_Profit_75]]-Alice_Master_Analysis_View[[#This Row],[Net_Profit_60]])/Alice_Master_Analysis_View[[#This Row],[Net_Profit_75]]</f>
        <v>0.48282469452641968</v>
      </c>
      <c r="U93" s="1">
        <f>Alice_Master_Analysis_View[[#This Row],[Net_Profit_60]]/(Alice_Master_Analysis_View[[#This Row],[Start_SoC]]-Alice_Master_Analysis_View[[#This Row],[End_SoC]])/100*850</f>
        <v>52.380036309791819</v>
      </c>
    </row>
    <row r="94" spans="1:21" x14ac:dyDescent="0.2">
      <c r="A94" s="1" t="s">
        <v>95</v>
      </c>
      <c r="B94">
        <v>99.135000000000005</v>
      </c>
      <c r="C94">
        <v>10.194333333333333</v>
      </c>
      <c r="D94">
        <v>1.1858755555555556</v>
      </c>
      <c r="E94">
        <v>28.847466666666662</v>
      </c>
      <c r="F94">
        <v>783.49375297221661</v>
      </c>
      <c r="G94">
        <v>42.733651512044652</v>
      </c>
      <c r="H94" s="1" t="s">
        <v>2</v>
      </c>
      <c r="I94" s="1" t="s">
        <v>133</v>
      </c>
      <c r="J94">
        <v>1</v>
      </c>
      <c r="K94">
        <f>(Alice_Master_Analysis_View[[#This Row],[Start_SoC]]-Alice_Master_Analysis_View[[#This Row],[End_SoC]])/100*val_capacity*val_elec_rate*val_charging_loss</f>
        <v>152.40872640000001</v>
      </c>
      <c r="L94" s="1">
        <f>(val_battery_cost / val_cycle) * (1 + (Alice_Master_Analysis_View[[#This Row],[Payload(lbs)]] / val_max_payload) * val_stress_factor)</f>
        <v>251.61485423601843</v>
      </c>
      <c r="M94" s="1">
        <f>(Alice_Master_Analysis_View[[#This Row],[Sortie_75_energy_OpEx]]+Alice_Master_Analysis_View[[#This Row],[Depreciation_OpEx]]+val_ground_ops)</f>
        <v>1604.0235806360183</v>
      </c>
      <c r="N94" s="1">
        <f>Alice_Master_Analysis_View[[#This Row],[Payload(lbs)]]*val_yield_rate</f>
        <v>1762.8609441874873</v>
      </c>
      <c r="O94" s="1">
        <f>Alice_Master_Analysis_View[[#This Row],[Revenue]]-Alice_Master_Analysis_View[[#This Row],[Total_OpEx_75]]</f>
        <v>158.83736355146902</v>
      </c>
      <c r="P94" s="1">
        <f>Alice_Master_Analysis_View[[#This Row],[Net_Profit_75]]/Alice_Master_Analysis_View[[#This Row],[Revenue]]</f>
        <v>9.0102037869287568E-2</v>
      </c>
      <c r="Q94" s="1">
        <f>(Alice_Master_Analysis_View[[#This Row],[Start_SoC]]-(Alice_Master_Analysis_View[[#This Row],[Start_SoC]]-Alice_Master_Analysis_View[[#This Row],[Avg_Burn_rate_per_min]]*60))/100*val_capacity*val_elec_rate*val_charging_loss</f>
        <v>121.92698111999999</v>
      </c>
      <c r="R94" s="1">
        <f>Alice_Master_Analysis_View[[#This Row],[Revenue]]*60/75-(Alice_Master_Analysis_View[[#This Row],[Depreciation_OpEx]]+Alice_Master_Analysis_View[[#This Row],[Sortie_60_energy_OpEx]]+val_ground_ops)</f>
        <v>-163.25308000602854</v>
      </c>
      <c r="S94" s="1">
        <f>Alice_Master_Analysis_View[[#This Row],[Net_Profit_60]]/Alice_Master_Analysis_View[[#This Row],[Revenue]]*(60/75)</f>
        <v>-7.4085516747901092E-2</v>
      </c>
      <c r="T94" s="1">
        <f>(Alice_Master_Analysis_View[[#This Row],[Net_Profit_75]]-Alice_Master_Analysis_View[[#This Row],[Net_Profit_60]])/Alice_Master_Analysis_View[[#This Row],[Net_Profit_75]]</f>
        <v>2.0278002376508137</v>
      </c>
      <c r="U94" s="1">
        <f>Alice_Master_Analysis_View[[#This Row],[Net_Profit_60]]/(Alice_Master_Analysis_View[[#This Row],[Start_SoC]]-Alice_Master_Analysis_View[[#This Row],[End_SoC]])/100*850</f>
        <v>-15.601987617789117</v>
      </c>
    </row>
    <row r="95" spans="1:21" x14ac:dyDescent="0.2">
      <c r="A95" s="1" t="s">
        <v>96</v>
      </c>
      <c r="B95">
        <v>99.099833333333336</v>
      </c>
      <c r="C95">
        <v>10.414999999999999</v>
      </c>
      <c r="D95">
        <v>1.1824644444444443</v>
      </c>
      <c r="E95">
        <v>29.052133333333344</v>
      </c>
      <c r="F95">
        <v>1713.9835501869643</v>
      </c>
      <c r="G95">
        <v>35.858391425802907</v>
      </c>
      <c r="H95" s="1" t="s">
        <v>5</v>
      </c>
      <c r="I95" s="1" t="s">
        <v>133</v>
      </c>
      <c r="J95">
        <v>1</v>
      </c>
      <c r="K95">
        <f>(Alice_Master_Analysis_View[[#This Row],[Start_SoC]]-Alice_Master_Analysis_View[[#This Row],[End_SoC]])/100*val_capacity*val_elec_rate*val_charging_loss</f>
        <v>151.97033039999999</v>
      </c>
      <c r="L95" s="1">
        <f>(val_battery_cost / val_cycle) * (1 + (Alice_Master_Analysis_View[[#This Row],[Payload(lbs)]] / val_max_payload) * val_stress_factor)</f>
        <v>273.32628283769583</v>
      </c>
      <c r="M95" s="1">
        <f>(Alice_Master_Analysis_View[[#This Row],[Sortie_75_energy_OpEx]]+Alice_Master_Analysis_View[[#This Row],[Depreciation_OpEx]]+val_ground_ops)</f>
        <v>1625.296613237696</v>
      </c>
      <c r="N95" s="1">
        <f>Alice_Master_Analysis_View[[#This Row],[Payload(lbs)]]*val_yield_rate</f>
        <v>3856.4629879206695</v>
      </c>
      <c r="O95" s="1">
        <f>Alice_Master_Analysis_View[[#This Row],[Revenue]]-Alice_Master_Analysis_View[[#This Row],[Total_OpEx_75]]</f>
        <v>2231.1663746829736</v>
      </c>
      <c r="P95" s="1">
        <f>Alice_Master_Analysis_View[[#This Row],[Net_Profit_75]]/Alice_Master_Analysis_View[[#This Row],[Revenue]]</f>
        <v>0.57855251863469215</v>
      </c>
      <c r="Q95" s="1">
        <f>(Alice_Master_Analysis_View[[#This Row],[Start_SoC]]-(Alice_Master_Analysis_View[[#This Row],[Start_SoC]]-Alice_Master_Analysis_View[[#This Row],[Avg_Burn_rate_per_min]]*60))/100*val_capacity*val_elec_rate*val_charging_loss</f>
        <v>121.57626431999999</v>
      </c>
      <c r="R95" s="1">
        <f>Alice_Master_Analysis_View[[#This Row],[Revenue]]*60/75-(Alice_Master_Analysis_View[[#This Row],[Depreciation_OpEx]]+Alice_Master_Analysis_View[[#This Row],[Sortie_60_energy_OpEx]]+val_ground_ops)</f>
        <v>1490.2678431788397</v>
      </c>
      <c r="S95" s="1">
        <f>Alice_Master_Analysis_View[[#This Row],[Net_Profit_60]]/Alice_Master_Analysis_View[[#This Row],[Revenue]]*(60/75)</f>
        <v>0.30914708069994745</v>
      </c>
      <c r="T95" s="1">
        <f>(Alice_Master_Analysis_View[[#This Row],[Net_Profit_75]]-Alice_Master_Analysis_View[[#This Row],[Net_Profit_60]])/Alice_Master_Analysis_View[[#This Row],[Net_Profit_75]]</f>
        <v>0.33206780987339329</v>
      </c>
      <c r="U95" s="1">
        <f>Alice_Master_Analysis_View[[#This Row],[Net_Profit_60]]/(Alice_Master_Analysis_View[[#This Row],[Start_SoC]]-Alice_Master_Analysis_View[[#This Row],[End_SoC]])/100*850</f>
        <v>142.83475754426408</v>
      </c>
    </row>
    <row r="96" spans="1:21" x14ac:dyDescent="0.2">
      <c r="A96" s="1" t="s">
        <v>97</v>
      </c>
      <c r="B96">
        <v>99.143833333333333</v>
      </c>
      <c r="C96">
        <v>10.007666666666667</v>
      </c>
      <c r="D96">
        <v>1.1884822222222222</v>
      </c>
      <c r="E96">
        <v>28.691066666666671</v>
      </c>
      <c r="F96">
        <v>1131.0521179798131</v>
      </c>
      <c r="G96">
        <v>16.88059471033284</v>
      </c>
      <c r="H96" s="1" t="s">
        <v>5</v>
      </c>
      <c r="I96" s="1" t="s">
        <v>133</v>
      </c>
      <c r="J96">
        <v>1</v>
      </c>
      <c r="K96">
        <f>(Alice_Master_Analysis_View[[#This Row],[Start_SoC]]-Alice_Master_Analysis_View[[#This Row],[End_SoC]])/100*val_capacity*val_elec_rate*val_charging_loss</f>
        <v>152.7437352</v>
      </c>
      <c r="L96" s="1">
        <f>(val_battery_cost / val_cycle) * (1 + (Alice_Master_Analysis_View[[#This Row],[Payload(lbs)]] / val_max_payload) * val_stress_factor)</f>
        <v>259.72454941952901</v>
      </c>
      <c r="M96" s="1">
        <f>(Alice_Master_Analysis_View[[#This Row],[Sortie_75_energy_OpEx]]+Alice_Master_Analysis_View[[#This Row],[Depreciation_OpEx]]+val_ground_ops)</f>
        <v>1612.468284619529</v>
      </c>
      <c r="N96" s="1">
        <f>Alice_Master_Analysis_View[[#This Row],[Payload(lbs)]]*val_yield_rate</f>
        <v>2544.8672654545794</v>
      </c>
      <c r="O96" s="1">
        <f>Alice_Master_Analysis_View[[#This Row],[Revenue]]-Alice_Master_Analysis_View[[#This Row],[Total_OpEx_75]]</f>
        <v>932.39898083505045</v>
      </c>
      <c r="P96" s="1">
        <f>Alice_Master_Analysis_View[[#This Row],[Net_Profit_75]]/Alice_Master_Analysis_View[[#This Row],[Revenue]]</f>
        <v>0.36638413071359138</v>
      </c>
      <c r="Q96" s="1">
        <f>(Alice_Master_Analysis_View[[#This Row],[Start_SoC]]-(Alice_Master_Analysis_View[[#This Row],[Start_SoC]]-Alice_Master_Analysis_View[[#This Row],[Avg_Burn_rate_per_min]]*60))/100*val_capacity*val_elec_rate*val_charging_loss</f>
        <v>122.19498815999999</v>
      </c>
      <c r="R96" s="1">
        <f>Alice_Master_Analysis_View[[#This Row],[Revenue]]*60/75-(Alice_Master_Analysis_View[[#This Row],[Depreciation_OpEx]]+Alice_Master_Analysis_View[[#This Row],[Sortie_60_energy_OpEx]]+val_ground_ops)</f>
        <v>453.97427478413465</v>
      </c>
      <c r="S96" s="1">
        <f>Alice_Master_Analysis_View[[#This Row],[Net_Profit_60]]/Alice_Master_Analysis_View[[#This Row],[Revenue]]*(60/75)</f>
        <v>0.14271055498937169</v>
      </c>
      <c r="T96" s="1">
        <f>(Alice_Master_Analysis_View[[#This Row],[Net_Profit_75]]-Alice_Master_Analysis_View[[#This Row],[Net_Profit_60]])/Alice_Master_Analysis_View[[#This Row],[Net_Profit_75]]</f>
        <v>0.51311157121004336</v>
      </c>
      <c r="U96" s="1">
        <f>Alice_Master_Analysis_View[[#This Row],[Net_Profit_60]]/(Alice_Master_Analysis_View[[#This Row],[Start_SoC]]-Alice_Master_Analysis_View[[#This Row],[End_SoC]])/100*850</f>
        <v>43.290860264335031</v>
      </c>
    </row>
    <row r="97" spans="1:21" x14ac:dyDescent="0.2">
      <c r="A97" s="1" t="s">
        <v>98</v>
      </c>
      <c r="B97">
        <v>99.069000000000003</v>
      </c>
      <c r="C97">
        <v>0</v>
      </c>
      <c r="D97">
        <v>1.3209200000000001</v>
      </c>
      <c r="E97">
        <v>20.744799999999998</v>
      </c>
      <c r="F97">
        <v>1765.1433114814756</v>
      </c>
      <c r="G97">
        <v>44.973546080312239</v>
      </c>
      <c r="H97" s="1" t="s">
        <v>2</v>
      </c>
      <c r="I97" s="1" t="s">
        <v>133</v>
      </c>
      <c r="J97">
        <v>1</v>
      </c>
      <c r="K97">
        <f>(Alice_Master_Analysis_View[[#This Row],[Start_SoC]]-Alice_Master_Analysis_View[[#This Row],[End_SoC]])/100*val_capacity*val_elec_rate*val_charging_loss</f>
        <v>169.76463840000005</v>
      </c>
      <c r="L97" s="1">
        <f>(val_battery_cost / val_cycle) * (1 + (Alice_Master_Analysis_View[[#This Row],[Payload(lbs)]] / val_max_payload) * val_stress_factor)</f>
        <v>274.52001060123445</v>
      </c>
      <c r="M97" s="1">
        <f>(Alice_Master_Analysis_View[[#This Row],[Sortie_75_energy_OpEx]]+Alice_Master_Analysis_View[[#This Row],[Depreciation_OpEx]]+val_ground_ops)</f>
        <v>1644.2846490012344</v>
      </c>
      <c r="N97" s="1">
        <f>Alice_Master_Analysis_View[[#This Row],[Payload(lbs)]]*val_yield_rate</f>
        <v>3971.5724508333201</v>
      </c>
      <c r="O97" s="1">
        <f>Alice_Master_Analysis_View[[#This Row],[Revenue]]-Alice_Master_Analysis_View[[#This Row],[Total_OpEx_75]]</f>
        <v>2327.2878018320857</v>
      </c>
      <c r="P97" s="1">
        <f>Alice_Master_Analysis_View[[#This Row],[Net_Profit_75]]/Alice_Master_Analysis_View[[#This Row],[Revenue]]</f>
        <v>0.58598649039973361</v>
      </c>
      <c r="Q97" s="1">
        <f>(Alice_Master_Analysis_View[[#This Row],[Start_SoC]]-(Alice_Master_Analysis_View[[#This Row],[Start_SoC]]-Alice_Master_Analysis_View[[#This Row],[Avg_Burn_rate_per_min]]*60))/100*val_capacity*val_elec_rate*val_charging_loss</f>
        <v>135.81171072000001</v>
      </c>
      <c r="R97" s="1">
        <f>Alice_Master_Analysis_View[[#This Row],[Revenue]]*60/75-(Alice_Master_Analysis_View[[#This Row],[Depreciation_OpEx]]+Alice_Master_Analysis_View[[#This Row],[Sortie_60_energy_OpEx]]+val_ground_ops)</f>
        <v>1566.9262393454214</v>
      </c>
      <c r="S97" s="1">
        <f>Alice_Master_Analysis_View[[#This Row],[Net_Profit_60]]/Alice_Master_Analysis_View[[#This Row],[Revenue]]*(60/75)</f>
        <v>0.31562838321464282</v>
      </c>
      <c r="T97" s="1">
        <f>(Alice_Master_Analysis_View[[#This Row],[Net_Profit_75]]-Alice_Master_Analysis_View[[#This Row],[Net_Profit_60]])/Alice_Master_Analysis_View[[#This Row],[Net_Profit_75]]</f>
        <v>0.3267157426288631</v>
      </c>
      <c r="U97" s="1">
        <f>Alice_Master_Analysis_View[[#This Row],[Net_Profit_60]]/(Alice_Master_Analysis_View[[#This Row],[Start_SoC]]-Alice_Master_Analysis_View[[#This Row],[End_SoC]])/100*850</f>
        <v>134.44037019083751</v>
      </c>
    </row>
    <row r="98" spans="1:21" x14ac:dyDescent="0.2">
      <c r="A98" s="1" t="s">
        <v>99</v>
      </c>
      <c r="B98">
        <v>99.146000000000001</v>
      </c>
      <c r="C98">
        <v>10.316000000000001</v>
      </c>
      <c r="D98">
        <v>1.1843999999999999</v>
      </c>
      <c r="E98">
        <v>28.936000000000007</v>
      </c>
      <c r="F98">
        <v>1210.4110758812492</v>
      </c>
      <c r="G98">
        <v>30.832874298546187</v>
      </c>
      <c r="H98" s="1" t="s">
        <v>5</v>
      </c>
      <c r="I98" s="1" t="s">
        <v>133</v>
      </c>
      <c r="J98">
        <v>1</v>
      </c>
      <c r="K98">
        <f>(Alice_Master_Analysis_View[[#This Row],[Start_SoC]]-Alice_Master_Analysis_View[[#This Row],[End_SoC]])/100*val_capacity*val_elec_rate*val_charging_loss</f>
        <v>152.219088</v>
      </c>
      <c r="L98" s="1">
        <f>(val_battery_cost / val_cycle) * (1 + (Alice_Master_Analysis_View[[#This Row],[Payload(lbs)]] / val_max_payload) * val_stress_factor)</f>
        <v>261.57625843722917</v>
      </c>
      <c r="M98" s="1">
        <f>(Alice_Master_Analysis_View[[#This Row],[Sortie_75_energy_OpEx]]+Alice_Master_Analysis_View[[#This Row],[Depreciation_OpEx]]+val_ground_ops)</f>
        <v>1613.7953464372292</v>
      </c>
      <c r="N98" s="1">
        <f>Alice_Master_Analysis_View[[#This Row],[Payload(lbs)]]*val_yield_rate</f>
        <v>2723.4249207328107</v>
      </c>
      <c r="O98" s="1">
        <f>Alice_Master_Analysis_View[[#This Row],[Revenue]]-Alice_Master_Analysis_View[[#This Row],[Total_OpEx_75]]</f>
        <v>1109.6295742955815</v>
      </c>
      <c r="P98" s="1">
        <f>Alice_Master_Analysis_View[[#This Row],[Net_Profit_75]]/Alice_Master_Analysis_View[[#This Row],[Revenue]]</f>
        <v>0.40743901763115459</v>
      </c>
      <c r="Q98" s="1">
        <f>(Alice_Master_Analysis_View[[#This Row],[Start_SoC]]-(Alice_Master_Analysis_View[[#This Row],[Start_SoC]]-Alice_Master_Analysis_View[[#This Row],[Avg_Burn_rate_per_min]]*60))/100*val_capacity*val_elec_rate*val_charging_loss</f>
        <v>121.77527040000001</v>
      </c>
      <c r="R98" s="1">
        <f>Alice_Master_Analysis_View[[#This Row],[Revenue]]*60/75-(Alice_Master_Analysis_View[[#This Row],[Depreciation_OpEx]]+Alice_Master_Analysis_View[[#This Row],[Sortie_60_energy_OpEx]]+val_ground_ops)</f>
        <v>595.38840774901928</v>
      </c>
      <c r="S98" s="1">
        <f>Alice_Master_Analysis_View[[#This Row],[Net_Profit_60]]/Alice_Master_Analysis_View[[#This Row],[Revenue]]*(60/75)</f>
        <v>0.17489401766620072</v>
      </c>
      <c r="T98" s="1">
        <f>(Alice_Master_Analysis_View[[#This Row],[Net_Profit_75]]-Alice_Master_Analysis_View[[#This Row],[Net_Profit_60]])/Alice_Master_Analysis_View[[#This Row],[Net_Profit_75]]</f>
        <v>0.46343498628631485</v>
      </c>
      <c r="U98" s="1">
        <f>Alice_Master_Analysis_View[[#This Row],[Net_Profit_60]]/(Alice_Master_Analysis_View[[#This Row],[Start_SoC]]-Alice_Master_Analysis_View[[#This Row],[End_SoC]])/100*850</f>
        <v>56.971760282186921</v>
      </c>
    </row>
    <row r="99" spans="1:21" x14ac:dyDescent="0.2">
      <c r="A99" s="1" t="s">
        <v>100</v>
      </c>
      <c r="B99">
        <v>99.138833333333338</v>
      </c>
      <c r="C99">
        <v>10.6655</v>
      </c>
      <c r="D99">
        <v>1.1796444444444445</v>
      </c>
      <c r="E99">
        <v>29.221333333333334</v>
      </c>
      <c r="F99">
        <v>622.74247462911819</v>
      </c>
      <c r="G99">
        <v>5.1495792032054331</v>
      </c>
      <c r="H99" s="1" t="s">
        <v>5</v>
      </c>
      <c r="I99" s="1" t="s">
        <v>133</v>
      </c>
      <c r="J99">
        <v>1</v>
      </c>
      <c r="K99">
        <f>(Alice_Master_Analysis_View[[#This Row],[Start_SoC]]-Alice_Master_Analysis_View[[#This Row],[End_SoC]])/100*val_capacity*val_elec_rate*val_charging_loss</f>
        <v>151.60790400000002</v>
      </c>
      <c r="L99" s="1">
        <f>(val_battery_cost / val_cycle) * (1 + (Alice_Master_Analysis_View[[#This Row],[Payload(lbs)]] / val_max_payload) * val_stress_factor)</f>
        <v>247.86399107467946</v>
      </c>
      <c r="M99" s="1">
        <f>(Alice_Master_Analysis_View[[#This Row],[Sortie_75_energy_OpEx]]+Alice_Master_Analysis_View[[#This Row],[Depreciation_OpEx]]+val_ground_ops)</f>
        <v>1599.4718950746794</v>
      </c>
      <c r="N99" s="1">
        <f>Alice_Master_Analysis_View[[#This Row],[Payload(lbs)]]*val_yield_rate</f>
        <v>1401.1705679155159</v>
      </c>
      <c r="O99" s="1">
        <f>Alice_Master_Analysis_View[[#This Row],[Revenue]]-Alice_Master_Analysis_View[[#This Row],[Total_OpEx_75]]</f>
        <v>-198.30132715916352</v>
      </c>
      <c r="P99" s="1">
        <f>Alice_Master_Analysis_View[[#This Row],[Net_Profit_75]]/Alice_Master_Analysis_View[[#This Row],[Revenue]]</f>
        <v>-0.14152547284387448</v>
      </c>
      <c r="Q99" s="1">
        <f>(Alice_Master_Analysis_View[[#This Row],[Start_SoC]]-(Alice_Master_Analysis_View[[#This Row],[Start_SoC]]-Alice_Master_Analysis_View[[#This Row],[Avg_Burn_rate_per_min]]*60))/100*val_capacity*val_elec_rate*val_charging_loss</f>
        <v>121.2863232</v>
      </c>
      <c r="R99" s="1">
        <f>Alice_Master_Analysis_View[[#This Row],[Revenue]]*60/75-(Alice_Master_Analysis_View[[#This Row],[Depreciation_OpEx]]+Alice_Master_Analysis_View[[#This Row],[Sortie_60_energy_OpEx]]+val_ground_ops)</f>
        <v>-448.21385994226671</v>
      </c>
      <c r="S99" s="1">
        <f>Alice_Master_Analysis_View[[#This Row],[Net_Profit_60]]/Alice_Master_Analysis_View[[#This Row],[Revenue]]*(60/75)</f>
        <v>-0.25590823570270249</v>
      </c>
      <c r="T99" s="1">
        <f>(Alice_Master_Analysis_View[[#This Row],[Net_Profit_75]]-Alice_Master_Analysis_View[[#This Row],[Net_Profit_60]])/Alice_Master_Analysis_View[[#This Row],[Net_Profit_75]]</f>
        <v>-1.2602665668622315</v>
      </c>
      <c r="U99" s="1">
        <f>Alice_Master_Analysis_View[[#This Row],[Net_Profit_60]]/(Alice_Master_Analysis_View[[#This Row],[Start_SoC]]-Alice_Master_Analysis_View[[#This Row],[End_SoC]])/100*850</f>
        <v>-43.06176410416623</v>
      </c>
    </row>
    <row r="100" spans="1:21" x14ac:dyDescent="0.2">
      <c r="A100" s="1" t="s">
        <v>101</v>
      </c>
      <c r="B100">
        <v>99.085000000000008</v>
      </c>
      <c r="C100">
        <v>1.0643333333333334</v>
      </c>
      <c r="D100">
        <v>1.3069422222222222</v>
      </c>
      <c r="E100">
        <v>21.583466666666666</v>
      </c>
      <c r="F100">
        <v>1470.5026563239981</v>
      </c>
      <c r="G100">
        <v>44.849948550384539</v>
      </c>
      <c r="H100" s="1" t="s">
        <v>2</v>
      </c>
      <c r="I100" s="1" t="s">
        <v>133</v>
      </c>
      <c r="J100">
        <v>1</v>
      </c>
      <c r="K100">
        <f>(Alice_Master_Analysis_View[[#This Row],[Start_SoC]]-Alice_Master_Analysis_View[[#This Row],[End_SoC]])/100*val_capacity*val_elec_rate*val_charging_loss</f>
        <v>167.96821440000002</v>
      </c>
      <c r="L100" s="1">
        <f>(val_battery_cost / val_cycle) * (1 + (Alice_Master_Analysis_View[[#This Row],[Payload(lbs)]] / val_max_payload) * val_stress_factor)</f>
        <v>267.64506198089327</v>
      </c>
      <c r="M100" s="1">
        <f>(Alice_Master_Analysis_View[[#This Row],[Sortie_75_energy_OpEx]]+Alice_Master_Analysis_View[[#This Row],[Depreciation_OpEx]]+val_ground_ops)</f>
        <v>1635.6132763808932</v>
      </c>
      <c r="N100" s="1">
        <f>Alice_Master_Analysis_View[[#This Row],[Payload(lbs)]]*val_yield_rate</f>
        <v>3308.6309767289958</v>
      </c>
      <c r="O100" s="1">
        <f>Alice_Master_Analysis_View[[#This Row],[Revenue]]-Alice_Master_Analysis_View[[#This Row],[Total_OpEx_75]]</f>
        <v>1673.0177003481026</v>
      </c>
      <c r="P100" s="1">
        <f>Alice_Master_Analysis_View[[#This Row],[Net_Profit_75]]/Alice_Master_Analysis_View[[#This Row],[Revenue]]</f>
        <v>0.50565255300912837</v>
      </c>
      <c r="Q100" s="1">
        <f>(Alice_Master_Analysis_View[[#This Row],[Start_SoC]]-(Alice_Master_Analysis_View[[#This Row],[Start_SoC]]-Alice_Master_Analysis_View[[#This Row],[Avg_Burn_rate_per_min]]*60))/100*val_capacity*val_elec_rate*val_charging_loss</f>
        <v>134.37457152000002</v>
      </c>
      <c r="R100" s="1">
        <f>Alice_Master_Analysis_View[[#This Row],[Revenue]]*60/75-(Alice_Master_Analysis_View[[#This Row],[Depreciation_OpEx]]+Alice_Master_Analysis_View[[#This Row],[Sortie_60_energy_OpEx]]+val_ground_ops)</f>
        <v>1044.8851478823035</v>
      </c>
      <c r="S100" s="1">
        <f>Alice_Master_Analysis_View[[#This Row],[Net_Profit_60]]/Alice_Master_Analysis_View[[#This Row],[Revenue]]*(60/75)</f>
        <v>0.25264471141845041</v>
      </c>
      <c r="T100" s="1">
        <f>(Alice_Master_Analysis_View[[#This Row],[Net_Profit_75]]-Alice_Master_Analysis_View[[#This Row],[Net_Profit_60]])/Alice_Master_Analysis_View[[#This Row],[Net_Profit_75]]</f>
        <v>0.37544883854791516</v>
      </c>
      <c r="U100" s="1">
        <f>Alice_Master_Analysis_View[[#This Row],[Net_Profit_60]]/(Alice_Master_Analysis_View[[#This Row],[Start_SoC]]-Alice_Master_Analysis_View[[#This Row],[End_SoC]])/100*850</f>
        <v>90.608685484689417</v>
      </c>
    </row>
    <row r="101" spans="1:21" x14ac:dyDescent="0.2">
      <c r="A101" s="1" t="s">
        <v>102</v>
      </c>
      <c r="B101">
        <v>99.14266666666667</v>
      </c>
      <c r="C101">
        <v>10.5365</v>
      </c>
      <c r="D101">
        <v>1.1814155555555557</v>
      </c>
      <c r="E101">
        <v>29.115066666666664</v>
      </c>
      <c r="F101">
        <v>1118.9791682543705</v>
      </c>
      <c r="G101">
        <v>16.327409286848798</v>
      </c>
      <c r="H101" s="1" t="s">
        <v>2</v>
      </c>
      <c r="I101" s="1" t="s">
        <v>133</v>
      </c>
      <c r="J101">
        <v>1</v>
      </c>
      <c r="K101">
        <f>(Alice_Master_Analysis_View[[#This Row],[Start_SoC]]-Alice_Master_Analysis_View[[#This Row],[End_SoC]])/100*val_capacity*val_elec_rate*val_charging_loss</f>
        <v>151.8355272</v>
      </c>
      <c r="L101" s="1">
        <f>(val_battery_cost / val_cycle) * (1 + (Alice_Master_Analysis_View[[#This Row],[Payload(lbs)]] / val_max_payload) * val_stress_factor)</f>
        <v>259.44284725926866</v>
      </c>
      <c r="M101" s="1">
        <f>(Alice_Master_Analysis_View[[#This Row],[Sortie_75_energy_OpEx]]+Alice_Master_Analysis_View[[#This Row],[Depreciation_OpEx]]+val_ground_ops)</f>
        <v>1611.2783744592687</v>
      </c>
      <c r="N101" s="1">
        <f>Alice_Master_Analysis_View[[#This Row],[Payload(lbs)]]*val_yield_rate</f>
        <v>2517.7031285723338</v>
      </c>
      <c r="O101" s="1">
        <f>Alice_Master_Analysis_View[[#This Row],[Revenue]]-Alice_Master_Analysis_View[[#This Row],[Total_OpEx_75]]</f>
        <v>906.42475411306509</v>
      </c>
      <c r="P101" s="1">
        <f>Alice_Master_Analysis_View[[#This Row],[Net_Profit_75]]/Alice_Master_Analysis_View[[#This Row],[Revenue]]</f>
        <v>0.36002050592321194</v>
      </c>
      <c r="Q101" s="1">
        <f>(Alice_Master_Analysis_View[[#This Row],[Start_SoC]]-(Alice_Master_Analysis_View[[#This Row],[Start_SoC]]-Alice_Master_Analysis_View[[#This Row],[Avg_Burn_rate_per_min]]*60))/100*val_capacity*val_elec_rate*val_charging_loss</f>
        <v>121.46842176000001</v>
      </c>
      <c r="R101" s="1">
        <f>Alice_Master_Analysis_View[[#This Row],[Revenue]]*60/75-(Alice_Master_Analysis_View[[#This Row],[Depreciation_OpEx]]+Alice_Master_Analysis_View[[#This Row],[Sortie_60_energy_OpEx]]+val_ground_ops)</f>
        <v>433.25123383859818</v>
      </c>
      <c r="S101" s="1">
        <f>Alice_Master_Analysis_View[[#This Row],[Net_Profit_60]]/Alice_Master_Analysis_View[[#This Row],[Revenue]]*(60/75)</f>
        <v>0.13766555045249479</v>
      </c>
      <c r="T101" s="1">
        <f>(Alice_Master_Analysis_View[[#This Row],[Net_Profit_75]]-Alice_Master_Analysis_View[[#This Row],[Net_Profit_60]])/Alice_Master_Analysis_View[[#This Row],[Net_Profit_75]]</f>
        <v>0.52202184254937556</v>
      </c>
      <c r="U101" s="1">
        <f>Alice_Master_Analysis_View[[#This Row],[Net_Profit_60]]/(Alice_Master_Analysis_View[[#This Row],[Start_SoC]]-Alice_Master_Analysis_View[[#This Row],[End_SoC]])/100*850</f>
        <v>41.561841869110893</v>
      </c>
    </row>
  </sheetData>
  <phoneticPr fontId="22" type="noConversion"/>
  <conditionalFormatting sqref="R1:R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O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DF04-E2DF-CD4E-A2B6-FCA0521E7573}">
  <dimension ref="A1:O45"/>
  <sheetViews>
    <sheetView zoomScale="107" zoomScaleNormal="100" workbookViewId="0">
      <selection activeCell="J26" sqref="J26"/>
    </sheetView>
  </sheetViews>
  <sheetFormatPr baseColWidth="10" defaultRowHeight="16" x14ac:dyDescent="0.2"/>
  <cols>
    <col min="1" max="1" width="13.6640625" bestFit="1" customWidth="1"/>
    <col min="2" max="2" width="21.83203125" customWidth="1"/>
    <col min="3" max="3" width="12" customWidth="1"/>
    <col min="4" max="4" width="12.6640625" customWidth="1"/>
    <col min="5" max="5" width="10.5" bestFit="1" customWidth="1"/>
    <col min="6" max="6" width="23.1640625" bestFit="1" customWidth="1"/>
    <col min="8" max="8" width="19.6640625" customWidth="1"/>
    <col min="9" max="9" width="15.6640625" customWidth="1"/>
    <col min="10" max="10" width="15.83203125" customWidth="1"/>
    <col min="11" max="11" width="17" customWidth="1"/>
    <col min="12" max="12" width="14.5" customWidth="1"/>
    <col min="13" max="13" width="21.83203125" bestFit="1" customWidth="1"/>
    <col min="14" max="14" width="12.1640625" bestFit="1" customWidth="1"/>
    <col min="15" max="15" width="14.6640625" bestFit="1" customWidth="1"/>
    <col min="16" max="47" width="12.1640625" bestFit="1" customWidth="1"/>
    <col min="48" max="48" width="8.1640625" bestFit="1" customWidth="1"/>
    <col min="49" max="49" width="7.1640625" bestFit="1" customWidth="1"/>
    <col min="50" max="76" width="12.1640625" bestFit="1" customWidth="1"/>
    <col min="77" max="77" width="7.1640625" bestFit="1" customWidth="1"/>
    <col min="78" max="90" width="12.1640625" bestFit="1" customWidth="1"/>
    <col min="91" max="91" width="8.1640625" bestFit="1" customWidth="1"/>
    <col min="92" max="94" width="12.1640625" bestFit="1" customWidth="1"/>
    <col min="95" max="95" width="7.1640625" bestFit="1" customWidth="1"/>
    <col min="96" max="103" width="12.1640625" bestFit="1" customWidth="1"/>
    <col min="104" max="104" width="8.1640625" bestFit="1" customWidth="1"/>
    <col min="105" max="107" width="12.1640625" bestFit="1" customWidth="1"/>
    <col min="108" max="108" width="8.1640625" bestFit="1" customWidth="1"/>
    <col min="109" max="109" width="10.5" bestFit="1" customWidth="1"/>
  </cols>
  <sheetData>
    <row r="1" spans="1:15" ht="19" thickBot="1" x14ac:dyDescent="0.3">
      <c r="A1" s="34" t="s">
        <v>256</v>
      </c>
      <c r="B1" s="34"/>
      <c r="C1" s="34"/>
      <c r="E1" s="34" t="s">
        <v>257</v>
      </c>
      <c r="F1" s="34"/>
      <c r="H1" s="34" t="s">
        <v>247</v>
      </c>
      <c r="I1" s="34"/>
      <c r="M1" s="70" t="s">
        <v>258</v>
      </c>
    </row>
    <row r="2" spans="1:15" ht="17" thickTop="1" x14ac:dyDescent="0.2">
      <c r="A2" s="8" t="s">
        <v>249</v>
      </c>
      <c r="B2" t="s">
        <v>175</v>
      </c>
      <c r="C2" s="21" t="s">
        <v>245</v>
      </c>
      <c r="E2" t="s">
        <v>175</v>
      </c>
      <c r="F2" t="s">
        <v>174</v>
      </c>
      <c r="H2" s="8" t="s">
        <v>248</v>
      </c>
      <c r="I2" t="s">
        <v>255</v>
      </c>
      <c r="J2" t="s">
        <v>253</v>
      </c>
      <c r="K2" t="s">
        <v>245</v>
      </c>
      <c r="M2" s="8" t="s">
        <v>250</v>
      </c>
      <c r="N2" t="s">
        <v>176</v>
      </c>
      <c r="O2" t="s">
        <v>175</v>
      </c>
    </row>
    <row r="3" spans="1:15" x14ac:dyDescent="0.2">
      <c r="A3" s="6" t="s">
        <v>139</v>
      </c>
      <c r="B3" s="41">
        <v>-567.13151550559724</v>
      </c>
      <c r="C3" s="21">
        <v>-0.36554338491802763</v>
      </c>
      <c r="E3" s="1">
        <v>1089.5620146175636</v>
      </c>
      <c r="F3" s="1">
        <v>1728.9854212373875</v>
      </c>
      <c r="H3" s="6" t="s">
        <v>246</v>
      </c>
      <c r="I3" s="1"/>
      <c r="J3" s="1"/>
      <c r="K3" s="1"/>
      <c r="M3" s="6" t="s">
        <v>5</v>
      </c>
      <c r="N3" s="1">
        <v>1.2263629885057468</v>
      </c>
      <c r="O3" s="1">
        <v>767.30662971712854</v>
      </c>
    </row>
    <row r="4" spans="1:15" x14ac:dyDescent="0.2">
      <c r="A4" s="6" t="s">
        <v>140</v>
      </c>
      <c r="B4" s="41">
        <v>-392.07187188302595</v>
      </c>
      <c r="C4" s="21">
        <v>-0.21506230945347404</v>
      </c>
      <c r="H4" s="6" t="s">
        <v>159</v>
      </c>
      <c r="I4" s="1">
        <v>130.417812</v>
      </c>
      <c r="J4" s="1">
        <v>263.81169523301782</v>
      </c>
      <c r="K4" s="1">
        <v>9.8868519879232314E-2</v>
      </c>
      <c r="M4" s="6" t="s">
        <v>2</v>
      </c>
      <c r="N4" s="1">
        <v>1.2353393114241005</v>
      </c>
      <c r="O4" s="1">
        <v>1221.1874535205579</v>
      </c>
    </row>
    <row r="5" spans="1:15" x14ac:dyDescent="0.2">
      <c r="A5" s="6" t="s">
        <v>141</v>
      </c>
      <c r="B5" s="41">
        <v>-237.37735337983668</v>
      </c>
      <c r="C5" s="21">
        <v>-0.11486328666721035</v>
      </c>
      <c r="H5" s="6" t="s">
        <v>160</v>
      </c>
      <c r="I5" s="1">
        <v>131.11713216000001</v>
      </c>
      <c r="J5" s="1">
        <v>268.67910655797289</v>
      </c>
      <c r="K5" s="1">
        <v>0.18907177416202856</v>
      </c>
      <c r="M5" s="105" t="s">
        <v>268</v>
      </c>
      <c r="N5" s="18"/>
      <c r="O5" s="18">
        <f>GETPIVOTDATA("Average of Net_Profit_60",$M$2,"Firmwave","v2.2")-GETPIVOTDATA("Average of Net_Profit_60",$M$2,"Firmwave","v2.1")</f>
        <v>453.88082380342939</v>
      </c>
    </row>
    <row r="6" spans="1:15" x14ac:dyDescent="0.2">
      <c r="A6" s="6" t="s">
        <v>142</v>
      </c>
      <c r="B6" s="41">
        <v>-29.147311934647831</v>
      </c>
      <c r="C6" s="21">
        <v>-1.232820892181863E-2</v>
      </c>
      <c r="H6" s="6" t="s">
        <v>161</v>
      </c>
      <c r="I6" s="1">
        <v>128.76403568000001</v>
      </c>
      <c r="J6" s="1">
        <v>268.49260601371788</v>
      </c>
      <c r="K6" s="1">
        <v>0.14269763176986514</v>
      </c>
      <c r="M6" s="105" t="s">
        <v>269</v>
      </c>
      <c r="N6" s="18"/>
      <c r="O6" s="18">
        <f>O5/GETPIVOTDATA("Average of Net_Profit_60",$M$2,"Firmwave","v2.1")</f>
        <v>0.59152469980710953</v>
      </c>
    </row>
    <row r="7" spans="1:15" x14ac:dyDescent="0.2">
      <c r="A7" s="6" t="s">
        <v>143</v>
      </c>
      <c r="B7" s="41">
        <v>161.7983819003133</v>
      </c>
      <c r="C7" s="21">
        <v>5.9590363165664066E-2</v>
      </c>
      <c r="H7" s="6" t="s">
        <v>162</v>
      </c>
      <c r="I7" s="1">
        <v>125.97161976</v>
      </c>
      <c r="J7" s="1">
        <v>265.73344645642663</v>
      </c>
      <c r="K7" s="1">
        <v>0.11721495665661069</v>
      </c>
      <c r="M7" s="105" t="s">
        <v>270</v>
      </c>
      <c r="N7" s="18"/>
      <c r="O7" s="106">
        <f>O5*10*4*365</f>
        <v>6626660.0275300695</v>
      </c>
    </row>
    <row r="8" spans="1:15" x14ac:dyDescent="0.2">
      <c r="A8" s="6" t="s">
        <v>144</v>
      </c>
      <c r="B8" s="41">
        <v>300.55789120141941</v>
      </c>
      <c r="C8" s="21">
        <v>0.10203247599693271</v>
      </c>
      <c r="H8" s="6" t="s">
        <v>163</v>
      </c>
      <c r="I8" s="1">
        <v>124.79491920000001</v>
      </c>
      <c r="J8" s="1">
        <v>269.88474230629191</v>
      </c>
      <c r="K8" s="1">
        <v>0.2392455067038409</v>
      </c>
    </row>
    <row r="9" spans="1:15" x14ac:dyDescent="0.2">
      <c r="A9" s="6" t="s">
        <v>145</v>
      </c>
      <c r="B9" s="41">
        <v>465.25529327306811</v>
      </c>
      <c r="C9" s="21">
        <v>0.14521683759709289</v>
      </c>
      <c r="H9" s="6" t="s">
        <v>164</v>
      </c>
      <c r="I9" s="1">
        <v>121.37632354909091</v>
      </c>
      <c r="J9" s="1">
        <v>268.99723662930325</v>
      </c>
      <c r="K9" s="1">
        <v>0.19884087477718387</v>
      </c>
    </row>
    <row r="10" spans="1:15" x14ac:dyDescent="0.2">
      <c r="A10" s="6" t="s">
        <v>146</v>
      </c>
      <c r="B10" s="41">
        <v>635.70928913458636</v>
      </c>
      <c r="C10" s="21">
        <v>0.18311755515311745</v>
      </c>
      <c r="H10" s="6" t="s">
        <v>165</v>
      </c>
      <c r="I10" s="1">
        <v>119.00079206400002</v>
      </c>
      <c r="J10" s="1">
        <v>260.84169191193303</v>
      </c>
      <c r="K10" s="1">
        <v>9.9789346004050428E-2</v>
      </c>
    </row>
    <row r="11" spans="1:15" x14ac:dyDescent="0.2">
      <c r="A11" s="6" t="s">
        <v>147</v>
      </c>
      <c r="B11" s="41">
        <v>837.21603753005479</v>
      </c>
      <c r="C11" s="21">
        <v>0.22088525867158898</v>
      </c>
      <c r="H11" s="6" t="s">
        <v>166</v>
      </c>
      <c r="I11" s="1">
        <v>128.41549676307693</v>
      </c>
      <c r="J11" s="1">
        <v>273.66200234311549</v>
      </c>
      <c r="K11" s="1">
        <v>0.24726694179253261</v>
      </c>
    </row>
    <row r="12" spans="1:15" x14ac:dyDescent="0.2">
      <c r="A12" s="6" t="s">
        <v>148</v>
      </c>
      <c r="B12" s="41">
        <v>1030.8727209630379</v>
      </c>
      <c r="C12" s="21">
        <v>0.25076903326884353</v>
      </c>
      <c r="H12" s="6" t="s">
        <v>167</v>
      </c>
      <c r="I12" s="1">
        <v>124.51474560000001</v>
      </c>
      <c r="J12" s="1">
        <v>266.83617307693572</v>
      </c>
      <c r="K12" s="1">
        <v>0.18376710027055024</v>
      </c>
    </row>
    <row r="13" spans="1:15" x14ac:dyDescent="0.2">
      <c r="A13" s="6" t="s">
        <v>149</v>
      </c>
      <c r="B13" s="41">
        <v>1159.8126064791568</v>
      </c>
      <c r="C13" s="21">
        <v>0.26876538215483237</v>
      </c>
      <c r="H13" s="6" t="s">
        <v>168</v>
      </c>
      <c r="I13" s="1">
        <v>129.75428704000001</v>
      </c>
      <c r="J13" s="1">
        <v>268.4340305834541</v>
      </c>
      <c r="K13" s="1">
        <v>0.23044419312449307</v>
      </c>
    </row>
    <row r="14" spans="1:15" x14ac:dyDescent="0.2">
      <c r="A14" s="6" t="s">
        <v>150</v>
      </c>
      <c r="B14" s="41">
        <v>1390.9390614577435</v>
      </c>
      <c r="C14" s="21">
        <v>0.29796934030511535</v>
      </c>
    </row>
    <row r="15" spans="1:15" x14ac:dyDescent="0.2">
      <c r="A15" s="6" t="s">
        <v>151</v>
      </c>
      <c r="B15" s="41">
        <v>1534.3416293218709</v>
      </c>
      <c r="C15" s="21">
        <v>0.31279974090046792</v>
      </c>
    </row>
    <row r="16" spans="1:15" x14ac:dyDescent="0.2">
      <c r="A16" s="6" t="s">
        <v>152</v>
      </c>
      <c r="B16" s="41">
        <v>1704.3636367440461</v>
      </c>
      <c r="C16" s="21">
        <v>0.32929190440062972</v>
      </c>
      <c r="H16" s="105" t="s">
        <v>271</v>
      </c>
      <c r="I16" s="107">
        <f>GETPIVOTDATA("Average of Sortie_60_energy_OpEx",$H$2,"Temp",40)-GETPIVOTDATA("Average of Sortie_60_energy_OpEx",$H$2,"Temp",20)</f>
        <v>8.3779634909090959</v>
      </c>
    </row>
    <row r="17" spans="1:9" x14ac:dyDescent="0.2">
      <c r="A17" s="6" t="s">
        <v>153</v>
      </c>
      <c r="B17" s="41">
        <v>1918.2280999512125</v>
      </c>
      <c r="C17" s="21">
        <v>0.34789170533968966</v>
      </c>
      <c r="H17" s="105" t="s">
        <v>267</v>
      </c>
      <c r="I17" s="108">
        <f>I16/GETPIVOTDATA("Average of Sortie_60_energy_OpEx",$H$2,"Temp",20)</f>
        <v>6.9024693168603102E-2</v>
      </c>
    </row>
    <row r="18" spans="1:9" x14ac:dyDescent="0.2">
      <c r="A18" s="6" t="s">
        <v>154</v>
      </c>
      <c r="B18" s="41">
        <v>2103.6851067790617</v>
      </c>
      <c r="C18" s="21">
        <v>0.36178849220006282</v>
      </c>
    </row>
    <row r="19" spans="1:9" x14ac:dyDescent="0.2">
      <c r="A19" s="6" t="s">
        <v>155</v>
      </c>
      <c r="B19" s="41">
        <v>2295.8238164621762</v>
      </c>
      <c r="C19" s="21">
        <v>0.37543011415322491</v>
      </c>
    </row>
    <row r="20" spans="1:9" x14ac:dyDescent="0.2">
      <c r="A20" s="6" t="s">
        <v>156</v>
      </c>
      <c r="B20" s="41">
        <v>2447.976010679814</v>
      </c>
      <c r="C20" s="21">
        <v>0.38519138603532133</v>
      </c>
    </row>
    <row r="21" spans="1:9" x14ac:dyDescent="0.2">
      <c r="A21" s="6" t="s">
        <v>157</v>
      </c>
      <c r="B21" s="41">
        <v>2553.1815201507566</v>
      </c>
      <c r="C21" s="21">
        <v>0.39127961050284737</v>
      </c>
    </row>
    <row r="22" spans="1:9" x14ac:dyDescent="0.2">
      <c r="A22" s="6" t="s">
        <v>158</v>
      </c>
      <c r="B22" s="41">
        <v>2779.4918684889108</v>
      </c>
      <c r="C22" s="21">
        <v>0.40372769321382423</v>
      </c>
    </row>
    <row r="24" spans="1:9" ht="19" thickBot="1" x14ac:dyDescent="0.3">
      <c r="A24" s="34" t="s">
        <v>261</v>
      </c>
    </row>
    <row r="25" spans="1:9" ht="17" thickTop="1" x14ac:dyDescent="0.2">
      <c r="A25" s="8" t="s">
        <v>249</v>
      </c>
      <c r="B25" t="s">
        <v>262</v>
      </c>
    </row>
    <row r="26" spans="1:9" x14ac:dyDescent="0.2">
      <c r="A26" s="6" t="s">
        <v>139</v>
      </c>
      <c r="B26" s="1">
        <v>-54.795238936383015</v>
      </c>
    </row>
    <row r="27" spans="1:9" x14ac:dyDescent="0.2">
      <c r="A27" s="6" t="s">
        <v>140</v>
      </c>
      <c r="B27" s="1">
        <v>-37.898759151181444</v>
      </c>
    </row>
    <row r="28" spans="1:9" x14ac:dyDescent="0.2">
      <c r="A28" s="6" t="s">
        <v>141</v>
      </c>
      <c r="B28" s="1">
        <v>-23.339902020321155</v>
      </c>
    </row>
    <row r="29" spans="1:9" x14ac:dyDescent="0.2">
      <c r="A29" s="6" t="s">
        <v>142</v>
      </c>
      <c r="B29" s="1">
        <v>-2.8384386367479126</v>
      </c>
    </row>
    <row r="30" spans="1:9" x14ac:dyDescent="0.2">
      <c r="A30" s="6" t="s">
        <v>143</v>
      </c>
      <c r="B30" s="1">
        <v>15.719068354584248</v>
      </c>
    </row>
    <row r="31" spans="1:9" x14ac:dyDescent="0.2">
      <c r="A31" s="6" t="s">
        <v>144</v>
      </c>
      <c r="B31" s="1">
        <v>28.93005927252214</v>
      </c>
    </row>
    <row r="32" spans="1:9" x14ac:dyDescent="0.2">
      <c r="A32" s="6" t="s">
        <v>145</v>
      </c>
      <c r="B32" s="1">
        <v>44.197469947770813</v>
      </c>
    </row>
    <row r="33" spans="1:2" x14ac:dyDescent="0.2">
      <c r="A33" s="6" t="s">
        <v>146</v>
      </c>
      <c r="B33" s="1">
        <v>60.981589584744505</v>
      </c>
    </row>
    <row r="34" spans="1:2" x14ac:dyDescent="0.2">
      <c r="A34" s="6" t="s">
        <v>147</v>
      </c>
      <c r="B34" s="1">
        <v>80.26072229871842</v>
      </c>
    </row>
    <row r="35" spans="1:2" x14ac:dyDescent="0.2">
      <c r="A35" s="6" t="s">
        <v>148</v>
      </c>
      <c r="B35" s="1">
        <v>91.891248013904871</v>
      </c>
    </row>
    <row r="36" spans="1:2" x14ac:dyDescent="0.2">
      <c r="A36" s="6" t="s">
        <v>149</v>
      </c>
      <c r="B36" s="1">
        <v>102.39067030184944</v>
      </c>
    </row>
    <row r="37" spans="1:2" x14ac:dyDescent="0.2">
      <c r="A37" s="6" t="s">
        <v>150</v>
      </c>
      <c r="B37" s="1">
        <v>130.84398596781182</v>
      </c>
    </row>
    <row r="38" spans="1:2" x14ac:dyDescent="0.2">
      <c r="A38" s="6" t="s">
        <v>151</v>
      </c>
      <c r="B38" s="1">
        <v>137.08750074134912</v>
      </c>
    </row>
    <row r="39" spans="1:2" x14ac:dyDescent="0.2">
      <c r="A39" s="6" t="s">
        <v>152</v>
      </c>
      <c r="B39" s="1">
        <v>151.52469844939222</v>
      </c>
    </row>
    <row r="40" spans="1:2" x14ac:dyDescent="0.2">
      <c r="A40" s="6" t="s">
        <v>153</v>
      </c>
      <c r="B40" s="1">
        <v>170.96732297297231</v>
      </c>
    </row>
    <row r="41" spans="1:2" x14ac:dyDescent="0.2">
      <c r="A41" s="6" t="s">
        <v>154</v>
      </c>
      <c r="B41" s="1">
        <v>180.57271773779166</v>
      </c>
    </row>
    <row r="42" spans="1:2" x14ac:dyDescent="0.2">
      <c r="A42" s="6" t="s">
        <v>155</v>
      </c>
      <c r="B42" s="1">
        <v>200.6297171591099</v>
      </c>
    </row>
    <row r="43" spans="1:2" x14ac:dyDescent="0.2">
      <c r="A43" s="6" t="s">
        <v>156</v>
      </c>
      <c r="B43" s="1">
        <v>214.93079507108223</v>
      </c>
    </row>
    <row r="44" spans="1:2" x14ac:dyDescent="0.2">
      <c r="A44" s="6" t="s">
        <v>157</v>
      </c>
      <c r="B44" s="1">
        <v>219.71044281943418</v>
      </c>
    </row>
    <row r="45" spans="1:2" x14ac:dyDescent="0.2">
      <c r="A45" s="6" t="s">
        <v>158</v>
      </c>
      <c r="B45" s="1">
        <v>238.5288032283363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5652-1EAD-914D-9DD7-BFD617C782FB}">
  <dimension ref="B1:H22"/>
  <sheetViews>
    <sheetView zoomScaleNormal="100" workbookViewId="0">
      <selection activeCell="A22" sqref="A22"/>
    </sheetView>
  </sheetViews>
  <sheetFormatPr baseColWidth="10" defaultRowHeight="16" x14ac:dyDescent="0.2"/>
  <cols>
    <col min="1" max="1" width="22.33203125" bestFit="1" customWidth="1"/>
    <col min="2" max="2" width="29.6640625" customWidth="1"/>
    <col min="3" max="3" width="22" style="7" customWidth="1"/>
    <col min="4" max="4" width="19.6640625" customWidth="1"/>
    <col min="6" max="6" width="29.1640625" bestFit="1" customWidth="1"/>
    <col min="7" max="7" width="19" bestFit="1" customWidth="1"/>
    <col min="8" max="8" width="20" bestFit="1" customWidth="1"/>
  </cols>
  <sheetData>
    <row r="1" spans="2:8" x14ac:dyDescent="0.2">
      <c r="E1" s="2"/>
      <c r="F1" s="5"/>
      <c r="G1" s="5"/>
      <c r="H1" s="5"/>
    </row>
    <row r="2" spans="2:8" ht="23" thickBot="1" x14ac:dyDescent="0.35">
      <c r="B2" s="83" t="s">
        <v>226</v>
      </c>
      <c r="C2" s="84"/>
      <c r="D2" s="84"/>
      <c r="E2" s="85"/>
      <c r="F2" s="5"/>
      <c r="G2" s="5"/>
      <c r="H2" s="5"/>
    </row>
    <row r="3" spans="2:8" ht="23" thickTop="1" x14ac:dyDescent="0.3">
      <c r="B3" s="86" t="s">
        <v>204</v>
      </c>
      <c r="C3" s="44" t="s">
        <v>178</v>
      </c>
      <c r="D3" s="88">
        <v>2200</v>
      </c>
      <c r="E3" s="89" t="s">
        <v>110</v>
      </c>
      <c r="F3" s="5"/>
      <c r="G3" s="5"/>
      <c r="H3" s="5"/>
    </row>
    <row r="4" spans="2:8" ht="22" x14ac:dyDescent="0.3">
      <c r="B4" s="86"/>
      <c r="C4" s="44" t="s">
        <v>179</v>
      </c>
      <c r="D4" s="88">
        <v>35</v>
      </c>
      <c r="E4" s="89" t="s">
        <v>180</v>
      </c>
      <c r="F4" s="5"/>
      <c r="G4" s="5"/>
      <c r="H4" s="5"/>
    </row>
    <row r="5" spans="2:8" ht="22" x14ac:dyDescent="0.3">
      <c r="B5" s="86"/>
      <c r="C5" s="44" t="s">
        <v>181</v>
      </c>
      <c r="D5" s="88">
        <v>58</v>
      </c>
      <c r="E5" s="89" t="s">
        <v>182</v>
      </c>
      <c r="F5" s="5"/>
      <c r="G5" s="5"/>
      <c r="H5" s="5"/>
    </row>
    <row r="6" spans="2:8" ht="22" x14ac:dyDescent="0.3">
      <c r="B6" s="86"/>
      <c r="C6" s="44" t="s">
        <v>196</v>
      </c>
      <c r="D6" s="88">
        <v>2.25</v>
      </c>
      <c r="E6" s="89" t="s">
        <v>124</v>
      </c>
      <c r="F6" s="5"/>
      <c r="G6" s="5"/>
      <c r="H6" s="5"/>
    </row>
    <row r="7" spans="2:8" ht="22" x14ac:dyDescent="0.3">
      <c r="B7" s="86"/>
      <c r="C7" s="42"/>
      <c r="D7" s="90"/>
      <c r="E7" s="91"/>
      <c r="F7" s="5"/>
      <c r="G7" s="5"/>
      <c r="H7" s="5"/>
    </row>
    <row r="8" spans="2:8" ht="20" x14ac:dyDescent="0.2">
      <c r="B8" s="86"/>
      <c r="C8" s="92"/>
      <c r="D8" s="93"/>
      <c r="E8" s="89"/>
      <c r="F8" s="5"/>
      <c r="G8" s="5"/>
      <c r="H8" s="5"/>
    </row>
    <row r="9" spans="2:8" ht="22" x14ac:dyDescent="0.3">
      <c r="B9" s="86" t="s">
        <v>201</v>
      </c>
      <c r="C9" s="94" t="s">
        <v>183</v>
      </c>
      <c r="D9" s="95">
        <v>1.14470328278397</v>
      </c>
      <c r="E9" s="89"/>
      <c r="F9" s="5"/>
      <c r="G9" s="5"/>
      <c r="H9" s="5"/>
    </row>
    <row r="10" spans="2:8" ht="22" x14ac:dyDescent="0.3">
      <c r="B10" s="86"/>
      <c r="C10" s="94" t="s">
        <v>184</v>
      </c>
      <c r="D10" s="96">
        <v>8.6275076379302293E-5</v>
      </c>
      <c r="E10" s="89" t="s">
        <v>197</v>
      </c>
      <c r="F10" s="5"/>
      <c r="G10" s="5"/>
      <c r="H10" s="5"/>
    </row>
    <row r="11" spans="2:8" ht="22" x14ac:dyDescent="0.3">
      <c r="B11" s="86"/>
      <c r="C11" s="94" t="s">
        <v>185</v>
      </c>
      <c r="D11" s="95">
        <v>-7.1914884230570302E-4</v>
      </c>
      <c r="E11" s="89" t="s">
        <v>198</v>
      </c>
      <c r="F11" s="5"/>
      <c r="G11" s="5"/>
      <c r="H11" s="5"/>
    </row>
    <row r="12" spans="2:8" ht="22" x14ac:dyDescent="0.3">
      <c r="B12" s="86"/>
      <c r="C12" s="94" t="s">
        <v>186</v>
      </c>
      <c r="D12" s="96">
        <f>D10*D3+D11*D4+D9</f>
        <v>1.3093382413377355</v>
      </c>
      <c r="E12" s="89" t="s">
        <v>187</v>
      </c>
      <c r="F12" s="5"/>
      <c r="G12" s="5"/>
      <c r="H12" s="5"/>
    </row>
    <row r="13" spans="2:8" ht="20" x14ac:dyDescent="0.2">
      <c r="B13" s="86"/>
      <c r="C13" s="92"/>
      <c r="D13" s="93"/>
      <c r="E13" s="89"/>
      <c r="F13" s="5"/>
      <c r="G13" s="5"/>
      <c r="H13" s="5"/>
    </row>
    <row r="14" spans="2:8" ht="20" x14ac:dyDescent="0.2">
      <c r="B14" s="86" t="s">
        <v>200</v>
      </c>
      <c r="C14" s="92" t="s">
        <v>188</v>
      </c>
      <c r="D14" s="97">
        <f>100-D5*D12</f>
        <v>24.058382002411349</v>
      </c>
      <c r="E14" s="89" t="s">
        <v>205</v>
      </c>
      <c r="F14" s="5"/>
      <c r="G14" s="5"/>
      <c r="H14" s="5"/>
    </row>
    <row r="15" spans="2:8" ht="20" x14ac:dyDescent="0.2">
      <c r="B15" s="86"/>
      <c r="C15" s="92" t="s">
        <v>189</v>
      </c>
      <c r="D15" s="98" t="str">
        <f>IF(C14 &lt; 20, "REJECTED", "CLEARED")</f>
        <v>CLEARED</v>
      </c>
      <c r="E15" s="89" t="s">
        <v>227</v>
      </c>
      <c r="F15" s="5"/>
      <c r="G15" s="3"/>
      <c r="H15" s="35"/>
    </row>
    <row r="16" spans="2:8" ht="20" x14ac:dyDescent="0.2">
      <c r="B16" s="86"/>
      <c r="C16" s="92"/>
      <c r="D16" s="93"/>
      <c r="E16" s="89"/>
      <c r="F16" s="5"/>
      <c r="G16" s="3"/>
      <c r="H16" s="36"/>
    </row>
    <row r="17" spans="2:8" ht="21" x14ac:dyDescent="0.25">
      <c r="B17" s="86" t="s">
        <v>199</v>
      </c>
      <c r="C17" s="92" t="s">
        <v>106</v>
      </c>
      <c r="D17" s="99">
        <f>D3*D6</f>
        <v>4950</v>
      </c>
      <c r="E17" s="89" t="s">
        <v>190</v>
      </c>
      <c r="F17" s="5"/>
      <c r="G17" s="3"/>
      <c r="H17" s="37"/>
    </row>
    <row r="18" spans="2:8" ht="22" x14ac:dyDescent="0.3">
      <c r="B18" s="86"/>
      <c r="C18" s="92" t="s">
        <v>202</v>
      </c>
      <c r="D18" s="100">
        <f>( (100 - D14) / 100 * val_capacity ) * val_elec_rate * val_charging_loss</f>
        <v>130.13355660066793</v>
      </c>
      <c r="E18" s="91"/>
      <c r="F18" s="10"/>
      <c r="G18" s="3"/>
      <c r="H18" s="37"/>
    </row>
    <row r="19" spans="2:8" ht="22" x14ac:dyDescent="0.3">
      <c r="B19" s="86"/>
      <c r="C19" s="92" t="s">
        <v>203</v>
      </c>
      <c r="D19" s="100">
        <f>(val_battery_cost / val_cycle) * ( 1 + (D3 / val_max_payload) * val_stress_factor )</f>
        <v>284.66666666666669</v>
      </c>
      <c r="E19" s="91"/>
      <c r="F19" s="10"/>
      <c r="G19" s="3"/>
      <c r="H19" s="37"/>
    </row>
    <row r="20" spans="2:8" ht="22" x14ac:dyDescent="0.3">
      <c r="B20" s="86"/>
      <c r="C20" s="92" t="s">
        <v>191</v>
      </c>
      <c r="D20" s="100">
        <f>D19+D18+val_ground_ops</f>
        <v>1614.8002232673346</v>
      </c>
      <c r="E20" s="89" t="s">
        <v>192</v>
      </c>
      <c r="F20" s="11"/>
      <c r="G20" s="3"/>
      <c r="H20" s="36"/>
    </row>
    <row r="21" spans="2:8" ht="22" x14ac:dyDescent="0.3">
      <c r="B21" s="50"/>
      <c r="C21" s="92" t="s">
        <v>193</v>
      </c>
      <c r="D21" s="99">
        <f>D17-D20</f>
        <v>3335.1997767326657</v>
      </c>
      <c r="E21" s="89" t="s">
        <v>194</v>
      </c>
      <c r="F21" s="11"/>
      <c r="G21" s="3"/>
      <c r="H21" s="38"/>
    </row>
    <row r="22" spans="2:8" ht="22" x14ac:dyDescent="0.3">
      <c r="B22" s="87"/>
      <c r="C22" s="101" t="s">
        <v>195</v>
      </c>
      <c r="D22" s="102">
        <f>D21/D17</f>
        <v>0.67377773267326579</v>
      </c>
      <c r="E22" s="10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507A-F115-1243-BC8E-CF2C08BD8233}">
  <dimension ref="A1:K101"/>
  <sheetViews>
    <sheetView workbookViewId="0">
      <selection activeCell="H36" sqref="H36"/>
    </sheetView>
  </sheetViews>
  <sheetFormatPr baseColWidth="10" defaultRowHeight="16" x14ac:dyDescent="0.2"/>
  <cols>
    <col min="2" max="2" width="14.83203125" customWidth="1"/>
    <col min="3" max="3" width="13.5" customWidth="1"/>
    <col min="4" max="4" width="9.1640625" customWidth="1"/>
    <col min="5" max="5" width="11.6640625" customWidth="1"/>
    <col min="6" max="6" width="12.5" customWidth="1"/>
    <col min="8" max="8" width="37.33203125" customWidth="1"/>
    <col min="9" max="9" width="20.1640625" customWidth="1"/>
    <col min="11" max="11" width="12.6640625" customWidth="1"/>
  </cols>
  <sheetData>
    <row r="1" spans="1:11" x14ac:dyDescent="0.2">
      <c r="A1" t="s">
        <v>229</v>
      </c>
      <c r="B1" t="s">
        <v>173</v>
      </c>
      <c r="C1" t="s">
        <v>230</v>
      </c>
      <c r="D1" t="s">
        <v>231</v>
      </c>
      <c r="E1" t="s">
        <v>232</v>
      </c>
      <c r="F1" t="s">
        <v>233</v>
      </c>
    </row>
    <row r="2" spans="1:11" ht="23" thickBot="1" x14ac:dyDescent="0.35">
      <c r="A2" t="str">
        <f>Alice_Master_Analysis_View[[#This Row],[flight_id]]</f>
        <v>FL-00001</v>
      </c>
      <c r="B2" s="9">
        <f>Alice_Master_Analysis_View[[#This Row],[Net_Profit_60]]</f>
        <v>157.75357515767905</v>
      </c>
      <c r="C2" s="40">
        <f>Alice_Master_Analysis_View[[#This Row],[Sortie_60_energy_OpEx]]</f>
        <v>121.4622528</v>
      </c>
      <c r="D2">
        <v>0</v>
      </c>
      <c r="E2" s="41">
        <f>B2*D2</f>
        <v>0</v>
      </c>
      <c r="F2">
        <f>C2*D2</f>
        <v>0</v>
      </c>
      <c r="H2" s="59" t="s">
        <v>237</v>
      </c>
      <c r="I2" s="60"/>
      <c r="J2" s="60"/>
      <c r="K2" s="61"/>
    </row>
    <row r="3" spans="1:11" ht="23" thickTop="1" x14ac:dyDescent="0.3">
      <c r="A3" t="str">
        <f>Alice_Master_Analysis_View[[#This Row],[flight_id]]</f>
        <v>FL-00002</v>
      </c>
      <c r="B3" s="9">
        <f>Alice_Master_Analysis_View[[#This Row],[Net_Profit_60]]</f>
        <v>2835.0603051118519</v>
      </c>
      <c r="C3" s="40">
        <f>Alice_Master_Analysis_View[[#This Row],[Sortie_60_energy_OpEx]]</f>
        <v>135.76532927999997</v>
      </c>
      <c r="D3">
        <v>1</v>
      </c>
      <c r="E3" s="41">
        <f t="shared" ref="E3:E66" si="0">B3*D3</f>
        <v>2835.0603051118519</v>
      </c>
      <c r="F3">
        <f t="shared" ref="F3:F66" si="1">C3*D3</f>
        <v>135.76532927999997</v>
      </c>
      <c r="H3" s="46" t="s">
        <v>242</v>
      </c>
      <c r="I3" s="42"/>
      <c r="J3" s="43"/>
      <c r="K3" s="47"/>
    </row>
    <row r="4" spans="1:11" ht="16" customHeight="1" x14ac:dyDescent="0.2">
      <c r="A4" t="str">
        <f>Alice_Master_Analysis_View[[#This Row],[flight_id]]</f>
        <v>FL-00003</v>
      </c>
      <c r="B4" s="9">
        <f>Alice_Master_Analysis_View[[#This Row],[Net_Profit_60]]</f>
        <v>1125.5920668927561</v>
      </c>
      <c r="C4" s="40">
        <f>Alice_Master_Analysis_View[[#This Row],[Sortie_60_energy_OpEx]]</f>
        <v>134.87402880000002</v>
      </c>
      <c r="D4">
        <v>1</v>
      </c>
      <c r="E4" s="41">
        <f t="shared" si="0"/>
        <v>1125.5920668927561</v>
      </c>
      <c r="F4">
        <f t="shared" si="1"/>
        <v>134.87402880000002</v>
      </c>
      <c r="H4" s="51" t="s">
        <v>238</v>
      </c>
      <c r="I4" s="52"/>
      <c r="J4" s="52"/>
      <c r="K4" s="53"/>
    </row>
    <row r="5" spans="1:11" ht="16" customHeight="1" x14ac:dyDescent="0.2">
      <c r="A5" t="str">
        <f>Alice_Master_Analysis_View[[#This Row],[flight_id]]</f>
        <v>FL-00004</v>
      </c>
      <c r="B5" s="9">
        <f>Alice_Master_Analysis_View[[#This Row],[Net_Profit_60]]</f>
        <v>2505.3768447316938</v>
      </c>
      <c r="C5" s="40">
        <f>Alice_Master_Analysis_View[[#This Row],[Sortie_60_energy_OpEx]]</f>
        <v>135.76944192000002</v>
      </c>
      <c r="D5">
        <v>1</v>
      </c>
      <c r="E5" s="41">
        <f t="shared" si="0"/>
        <v>2505.3768447316938</v>
      </c>
      <c r="F5">
        <f t="shared" si="1"/>
        <v>135.76944192000002</v>
      </c>
      <c r="H5" s="54" t="s">
        <v>239</v>
      </c>
      <c r="I5" s="55"/>
      <c r="J5" s="55"/>
      <c r="K5" s="56"/>
    </row>
    <row r="6" spans="1:11" x14ac:dyDescent="0.2">
      <c r="A6" t="str">
        <f>Alice_Master_Analysis_View[[#This Row],[flight_id]]</f>
        <v>FL-00005</v>
      </c>
      <c r="B6" s="9">
        <f>Alice_Master_Analysis_View[[#This Row],[Net_Profit_60]]</f>
        <v>2030.503174631081</v>
      </c>
      <c r="C6" s="40">
        <f>Alice_Master_Analysis_View[[#This Row],[Sortie_60_energy_OpEx]]</f>
        <v>135.75938880000004</v>
      </c>
      <c r="D6">
        <v>1</v>
      </c>
      <c r="E6" s="41">
        <f t="shared" si="0"/>
        <v>2030.503174631081</v>
      </c>
      <c r="F6">
        <f t="shared" si="1"/>
        <v>135.75938880000004</v>
      </c>
      <c r="H6" s="48"/>
      <c r="I6" s="43"/>
      <c r="J6" s="43"/>
      <c r="K6" s="47"/>
    </row>
    <row r="7" spans="1:11" ht="22" x14ac:dyDescent="0.3">
      <c r="A7" t="str">
        <f>Alice_Master_Analysis_View[[#This Row],[flight_id]]</f>
        <v>FL-00006</v>
      </c>
      <c r="B7" s="9">
        <f>Alice_Master_Analysis_View[[#This Row],[Net_Profit_60]]</f>
        <v>165.84318864294755</v>
      </c>
      <c r="C7" s="40">
        <f>Alice_Master_Analysis_View[[#This Row],[Sortie_60_energy_OpEx]]</f>
        <v>118.52788416000003</v>
      </c>
      <c r="D7">
        <v>0</v>
      </c>
      <c r="E7" s="41">
        <f t="shared" si="0"/>
        <v>0</v>
      </c>
      <c r="F7">
        <f t="shared" si="1"/>
        <v>0</v>
      </c>
      <c r="H7" s="49" t="s">
        <v>235</v>
      </c>
      <c r="I7" s="44"/>
      <c r="J7" s="44"/>
      <c r="K7" s="62">
        <f>SUM(F:F)</f>
        <v>7971.4380345599993</v>
      </c>
    </row>
    <row r="8" spans="1:11" x14ac:dyDescent="0.2">
      <c r="A8" t="str">
        <f>Alice_Master_Analysis_View[[#This Row],[flight_id]]</f>
        <v>FL-00007</v>
      </c>
      <c r="B8" s="9">
        <f>Alice_Master_Analysis_View[[#This Row],[Net_Profit_60]]</f>
        <v>2422.8636489508503</v>
      </c>
      <c r="C8" s="40">
        <f>Alice_Master_Analysis_View[[#This Row],[Sortie_60_energy_OpEx]]</f>
        <v>121.07429376000002</v>
      </c>
      <c r="D8">
        <v>1</v>
      </c>
      <c r="E8" s="41">
        <f t="shared" si="0"/>
        <v>2422.8636489508503</v>
      </c>
      <c r="F8">
        <f t="shared" si="1"/>
        <v>121.07429376000002</v>
      </c>
      <c r="H8" s="48"/>
      <c r="I8" s="43"/>
      <c r="J8" s="43"/>
      <c r="K8" s="47"/>
    </row>
    <row r="9" spans="1:11" ht="22" x14ac:dyDescent="0.3">
      <c r="A9" t="str">
        <f>Alice_Master_Analysis_View[[#This Row],[flight_id]]</f>
        <v>FL-00008</v>
      </c>
      <c r="B9" s="9">
        <f>Alice_Master_Analysis_View[[#This Row],[Net_Profit_60]]</f>
        <v>1930.0976890150691</v>
      </c>
      <c r="C9" s="40">
        <f>Alice_Master_Analysis_View[[#This Row],[Sortie_60_energy_OpEx]]</f>
        <v>121.74853824</v>
      </c>
      <c r="D9">
        <v>1</v>
      </c>
      <c r="E9" s="41">
        <f t="shared" si="0"/>
        <v>1930.0976890150691</v>
      </c>
      <c r="F9">
        <f t="shared" si="1"/>
        <v>121.74853824</v>
      </c>
      <c r="H9" s="63" t="s">
        <v>234</v>
      </c>
      <c r="I9" s="43"/>
      <c r="J9" s="43"/>
      <c r="K9" s="64">
        <f>SUM(E:E)</f>
        <v>109382.18130974354</v>
      </c>
    </row>
    <row r="10" spans="1:11" ht="22" x14ac:dyDescent="0.3">
      <c r="A10" t="str">
        <f>Alice_Master_Analysis_View[[#This Row],[flight_id]]</f>
        <v>FL-00009</v>
      </c>
      <c r="B10" s="9">
        <f>Alice_Master_Analysis_View[[#This Row],[Net_Profit_60]]</f>
        <v>-278.92092183236787</v>
      </c>
      <c r="C10" s="40">
        <f>Alice_Master_Analysis_View[[#This Row],[Sortie_60_energy_OpEx]]</f>
        <v>115.86563520000003</v>
      </c>
      <c r="D10">
        <v>0</v>
      </c>
      <c r="E10" s="41">
        <f t="shared" si="0"/>
        <v>0</v>
      </c>
      <c r="F10">
        <f t="shared" si="1"/>
        <v>0</v>
      </c>
      <c r="H10" s="57" t="s">
        <v>236</v>
      </c>
      <c r="I10" s="43"/>
      <c r="J10" s="43"/>
      <c r="K10" s="65">
        <f>COUNTIF(D2:D101, 1)/100</f>
        <v>0.61</v>
      </c>
    </row>
    <row r="11" spans="1:11" ht="22" x14ac:dyDescent="0.3">
      <c r="A11" t="str">
        <f>Alice_Master_Analysis_View[[#This Row],[flight_id]]</f>
        <v>FL-00010</v>
      </c>
      <c r="B11" s="9">
        <f>Alice_Master_Analysis_View[[#This Row],[Net_Profit_60]]</f>
        <v>2284.3916239781743</v>
      </c>
      <c r="C11" s="40">
        <f>Alice_Master_Analysis_View[[#This Row],[Sortie_60_energy_OpEx]]</f>
        <v>135.78680640000002</v>
      </c>
      <c r="D11">
        <v>1</v>
      </c>
      <c r="E11" s="41">
        <f t="shared" si="0"/>
        <v>2284.3916239781743</v>
      </c>
      <c r="F11">
        <f t="shared" si="1"/>
        <v>135.78680640000002</v>
      </c>
      <c r="H11" s="57" t="s">
        <v>240</v>
      </c>
      <c r="I11" s="58"/>
      <c r="J11" s="58"/>
      <c r="K11" s="66">
        <f>K7/8000</f>
        <v>0.99642975431999992</v>
      </c>
    </row>
    <row r="12" spans="1:11" ht="22" x14ac:dyDescent="0.3">
      <c r="A12" t="str">
        <f>Alice_Master_Analysis_View[[#This Row],[flight_id]]</f>
        <v>FL-00011</v>
      </c>
      <c r="B12" s="9">
        <f>Alice_Master_Analysis_View[[#This Row],[Net_Profit_60]]</f>
        <v>-74.303419444951942</v>
      </c>
      <c r="C12" s="40">
        <f>Alice_Master_Analysis_View[[#This Row],[Sortie_60_energy_OpEx]]</f>
        <v>115.70135807999999</v>
      </c>
      <c r="D12">
        <v>0</v>
      </c>
      <c r="E12" s="41">
        <f t="shared" si="0"/>
        <v>0</v>
      </c>
      <c r="F12">
        <f t="shared" si="1"/>
        <v>0</v>
      </c>
      <c r="H12" s="67" t="s">
        <v>241</v>
      </c>
      <c r="I12" s="45"/>
      <c r="J12" s="45"/>
      <c r="K12" s="68">
        <f>K9/K7</f>
        <v>13.721762727818923</v>
      </c>
    </row>
    <row r="13" spans="1:11" x14ac:dyDescent="0.2">
      <c r="A13" t="str">
        <f>Alice_Master_Analysis_View[[#This Row],[flight_id]]</f>
        <v>FL-00012</v>
      </c>
      <c r="B13" s="9">
        <f>Alice_Master_Analysis_View[[#This Row],[Net_Profit_60]]</f>
        <v>1177.1232209962025</v>
      </c>
      <c r="C13" s="40">
        <f>Alice_Master_Analysis_View[[#This Row],[Sortie_60_energy_OpEx]]</f>
        <v>135.79937280000001</v>
      </c>
      <c r="D13">
        <v>1</v>
      </c>
      <c r="E13" s="41">
        <f t="shared" si="0"/>
        <v>1177.1232209962025</v>
      </c>
      <c r="F13">
        <f t="shared" si="1"/>
        <v>135.79937280000001</v>
      </c>
    </row>
    <row r="14" spans="1:11" x14ac:dyDescent="0.2">
      <c r="A14" t="str">
        <f>Alice_Master_Analysis_View[[#This Row],[flight_id]]</f>
        <v>FL-00013</v>
      </c>
      <c r="B14" s="9">
        <f>Alice_Master_Analysis_View[[#This Row],[Net_Profit_60]]</f>
        <v>1426.4205480849976</v>
      </c>
      <c r="C14" s="40">
        <f>Alice_Master_Analysis_View[[#This Row],[Sortie_60_energy_OpEx]]</f>
        <v>135.04904448000002</v>
      </c>
      <c r="D14">
        <v>1</v>
      </c>
      <c r="E14" s="41">
        <f t="shared" si="0"/>
        <v>1426.4205480849976</v>
      </c>
      <c r="F14">
        <f t="shared" si="1"/>
        <v>135.04904448000002</v>
      </c>
    </row>
    <row r="15" spans="1:11" x14ac:dyDescent="0.2">
      <c r="A15" t="str">
        <f>Alice_Master_Analysis_View[[#This Row],[flight_id]]</f>
        <v>FL-00014</v>
      </c>
      <c r="B15" s="9">
        <f>Alice_Master_Analysis_View[[#This Row],[Net_Profit_60]]</f>
        <v>1512.9382923498342</v>
      </c>
      <c r="C15" s="40">
        <f>Alice_Master_Analysis_View[[#This Row],[Sortie_60_energy_OpEx]]</f>
        <v>121.41153024000003</v>
      </c>
      <c r="D15">
        <v>1</v>
      </c>
      <c r="E15" s="41">
        <f t="shared" si="0"/>
        <v>1512.9382923498342</v>
      </c>
      <c r="F15">
        <f t="shared" si="1"/>
        <v>121.41153024000003</v>
      </c>
    </row>
    <row r="16" spans="1:11" x14ac:dyDescent="0.2">
      <c r="A16" t="str">
        <f>Alice_Master_Analysis_View[[#This Row],[flight_id]]</f>
        <v>FL-00015</v>
      </c>
      <c r="B16" s="9">
        <f>Alice_Master_Analysis_View[[#This Row],[Net_Profit_60]]</f>
        <v>1422.3089736925024</v>
      </c>
      <c r="C16" s="40">
        <f>Alice_Master_Analysis_View[[#This Row],[Sortie_60_energy_OpEx]]</f>
        <v>121.98432960000001</v>
      </c>
      <c r="D16">
        <v>1</v>
      </c>
      <c r="E16" s="41">
        <f t="shared" si="0"/>
        <v>1422.3089736925024</v>
      </c>
      <c r="F16">
        <f t="shared" si="1"/>
        <v>121.98432960000001</v>
      </c>
    </row>
    <row r="17" spans="1:6" x14ac:dyDescent="0.2">
      <c r="A17" t="str">
        <f>Alice_Master_Analysis_View[[#This Row],[flight_id]]</f>
        <v>FL-00016</v>
      </c>
      <c r="B17" s="9">
        <f>Alice_Master_Analysis_View[[#This Row],[Net_Profit_60]]</f>
        <v>2302.6315929810808</v>
      </c>
      <c r="C17" s="40">
        <f>Alice_Master_Analysis_View[[#This Row],[Sortie_60_energy_OpEx]]</f>
        <v>134.11067712000002</v>
      </c>
      <c r="D17">
        <v>1</v>
      </c>
      <c r="E17" s="41">
        <f t="shared" si="0"/>
        <v>2302.6315929810808</v>
      </c>
      <c r="F17">
        <f t="shared" si="1"/>
        <v>134.11067712000002</v>
      </c>
    </row>
    <row r="18" spans="1:6" x14ac:dyDescent="0.2">
      <c r="A18" t="str">
        <f>Alice_Master_Analysis_View[[#This Row],[flight_id]]</f>
        <v>FL-00017</v>
      </c>
      <c r="B18" s="9">
        <f>Alice_Master_Analysis_View[[#This Row],[Net_Profit_60]]</f>
        <v>471.06658068484103</v>
      </c>
      <c r="C18" s="40">
        <f>Alice_Master_Analysis_View[[#This Row],[Sortie_60_energy_OpEx]]</f>
        <v>118.41547200000001</v>
      </c>
      <c r="D18">
        <v>0</v>
      </c>
      <c r="E18" s="41">
        <f t="shared" si="0"/>
        <v>0</v>
      </c>
      <c r="F18">
        <f t="shared" si="1"/>
        <v>0</v>
      </c>
    </row>
    <row r="19" spans="1:6" x14ac:dyDescent="0.2">
      <c r="A19" t="str">
        <f>Alice_Master_Analysis_View[[#This Row],[flight_id]]</f>
        <v>FL-00018</v>
      </c>
      <c r="B19" s="9">
        <f>Alice_Master_Analysis_View[[#This Row],[Net_Profit_60]]</f>
        <v>-255.24182510499213</v>
      </c>
      <c r="C19" s="40">
        <f>Alice_Master_Analysis_View[[#This Row],[Sortie_60_energy_OpEx]]</f>
        <v>121.59751296</v>
      </c>
      <c r="D19">
        <v>0</v>
      </c>
      <c r="E19" s="41">
        <f t="shared" si="0"/>
        <v>0</v>
      </c>
      <c r="F19">
        <f t="shared" si="1"/>
        <v>0</v>
      </c>
    </row>
    <row r="20" spans="1:6" x14ac:dyDescent="0.2">
      <c r="A20" t="str">
        <f>Alice_Master_Analysis_View[[#This Row],[flight_id]]</f>
        <v>FL-00019</v>
      </c>
      <c r="B20" s="9">
        <f>Alice_Master_Analysis_View[[#This Row],[Net_Profit_60]]</f>
        <v>2544.3611189819067</v>
      </c>
      <c r="C20" s="40">
        <f>Alice_Master_Analysis_View[[#This Row],[Sortie_60_energy_OpEx]]</f>
        <v>133.25661887999999</v>
      </c>
      <c r="D20">
        <v>1</v>
      </c>
      <c r="E20" s="41">
        <f t="shared" si="0"/>
        <v>2544.3611189819067</v>
      </c>
      <c r="F20">
        <f t="shared" si="1"/>
        <v>133.25661887999999</v>
      </c>
    </row>
    <row r="21" spans="1:6" x14ac:dyDescent="0.2">
      <c r="A21" t="str">
        <f>Alice_Master_Analysis_View[[#This Row],[flight_id]]</f>
        <v>FL-00020</v>
      </c>
      <c r="B21" s="9">
        <f>Alice_Master_Analysis_View[[#This Row],[Net_Profit_60]]</f>
        <v>1214.3736356376021</v>
      </c>
      <c r="C21" s="40">
        <f>Alice_Master_Analysis_View[[#This Row],[Sortie_60_energy_OpEx]]</f>
        <v>135.82404864000003</v>
      </c>
      <c r="D21">
        <v>1</v>
      </c>
      <c r="E21" s="41">
        <f t="shared" si="0"/>
        <v>1214.3736356376021</v>
      </c>
      <c r="F21">
        <f t="shared" si="1"/>
        <v>135.82404864000003</v>
      </c>
    </row>
    <row r="22" spans="1:6" x14ac:dyDescent="0.2">
      <c r="A22" t="str">
        <f>Alice_Master_Analysis_View[[#This Row],[flight_id]]</f>
        <v>FL-00021</v>
      </c>
      <c r="B22" s="9">
        <f>Alice_Master_Analysis_View[[#This Row],[Net_Profit_60]]</f>
        <v>1765.7770826237759</v>
      </c>
      <c r="C22" s="40">
        <f>Alice_Master_Analysis_View[[#This Row],[Sortie_60_energy_OpEx]]</f>
        <v>135.79594559999998</v>
      </c>
      <c r="D22">
        <v>1</v>
      </c>
      <c r="E22" s="41">
        <f t="shared" si="0"/>
        <v>1765.7770826237759</v>
      </c>
      <c r="F22">
        <f t="shared" si="1"/>
        <v>135.79594559999998</v>
      </c>
    </row>
    <row r="23" spans="1:6" x14ac:dyDescent="0.2">
      <c r="A23" t="str">
        <f>Alice_Master_Analysis_View[[#This Row],[flight_id]]</f>
        <v>FL-00022</v>
      </c>
      <c r="B23" s="9">
        <f>Alice_Master_Analysis_View[[#This Row],[Net_Profit_60]]</f>
        <v>2333.4713459409231</v>
      </c>
      <c r="C23" s="40">
        <f>Alice_Master_Analysis_View[[#This Row],[Sortie_60_energy_OpEx]]</f>
        <v>121.14375168000001</v>
      </c>
      <c r="D23">
        <v>1</v>
      </c>
      <c r="E23" s="41">
        <f t="shared" si="0"/>
        <v>2333.4713459409231</v>
      </c>
      <c r="F23">
        <f t="shared" si="1"/>
        <v>121.14375168000001</v>
      </c>
    </row>
    <row r="24" spans="1:6" x14ac:dyDescent="0.2">
      <c r="A24" t="str">
        <f>Alice_Master_Analysis_View[[#This Row],[flight_id]]</f>
        <v>FL-00023</v>
      </c>
      <c r="B24" s="9">
        <f>Alice_Master_Analysis_View[[#This Row],[Net_Profit_60]]</f>
        <v>1522.072172645755</v>
      </c>
      <c r="C24" s="40">
        <f>Alice_Master_Analysis_View[[#This Row],[Sortie_60_energy_OpEx]]</f>
        <v>133.57214976</v>
      </c>
      <c r="D24">
        <v>1</v>
      </c>
      <c r="E24" s="41">
        <f t="shared" si="0"/>
        <v>1522.072172645755</v>
      </c>
      <c r="F24">
        <f t="shared" si="1"/>
        <v>133.57214976</v>
      </c>
    </row>
    <row r="25" spans="1:6" x14ac:dyDescent="0.2">
      <c r="A25" t="str">
        <f>Alice_Master_Analysis_View[[#This Row],[flight_id]]</f>
        <v>FL-00024</v>
      </c>
      <c r="B25" s="9">
        <f>Alice_Master_Analysis_View[[#This Row],[Net_Profit_60]]</f>
        <v>671.38074424183787</v>
      </c>
      <c r="C25" s="40">
        <f>Alice_Master_Analysis_View[[#This Row],[Sortie_60_energy_OpEx]]</f>
        <v>120.03608064000002</v>
      </c>
      <c r="D25">
        <v>1</v>
      </c>
      <c r="E25" s="41">
        <f t="shared" si="0"/>
        <v>671.38074424183787</v>
      </c>
      <c r="F25">
        <f t="shared" si="1"/>
        <v>120.03608064000002</v>
      </c>
    </row>
    <row r="26" spans="1:6" x14ac:dyDescent="0.2">
      <c r="A26" t="str">
        <f>Alice_Master_Analysis_View[[#This Row],[flight_id]]</f>
        <v>FL-00025</v>
      </c>
      <c r="B26" s="9">
        <f>Alice_Master_Analysis_View[[#This Row],[Net_Profit_60]]</f>
        <v>253.94023277808128</v>
      </c>
      <c r="C26" s="40">
        <f>Alice_Master_Analysis_View[[#This Row],[Sortie_60_energy_OpEx]]</f>
        <v>122.15865984000001</v>
      </c>
      <c r="D26">
        <v>0</v>
      </c>
      <c r="E26" s="41">
        <f t="shared" si="0"/>
        <v>0</v>
      </c>
      <c r="F26">
        <f t="shared" si="1"/>
        <v>0</v>
      </c>
    </row>
    <row r="27" spans="1:6" x14ac:dyDescent="0.2">
      <c r="A27" t="str">
        <f>Alice_Master_Analysis_View[[#This Row],[flight_id]]</f>
        <v>FL-00026</v>
      </c>
      <c r="B27" s="9">
        <f>Alice_Master_Analysis_View[[#This Row],[Net_Profit_60]]</f>
        <v>-55.270619449619062</v>
      </c>
      <c r="C27" s="40">
        <f>Alice_Master_Analysis_View[[#This Row],[Sortie_60_energy_OpEx]]</f>
        <v>121.58174784000001</v>
      </c>
      <c r="D27">
        <v>0</v>
      </c>
      <c r="E27" s="41">
        <f t="shared" si="0"/>
        <v>0</v>
      </c>
      <c r="F27">
        <f t="shared" si="1"/>
        <v>0</v>
      </c>
    </row>
    <row r="28" spans="1:6" x14ac:dyDescent="0.2">
      <c r="A28" t="str">
        <f>Alice_Master_Analysis_View[[#This Row],[flight_id]]</f>
        <v>FL-00027</v>
      </c>
      <c r="B28" s="9">
        <f>Alice_Master_Analysis_View[[#This Row],[Net_Profit_60]]</f>
        <v>2509.5138544220863</v>
      </c>
      <c r="C28" s="40">
        <f>Alice_Master_Analysis_View[[#This Row],[Sortie_60_energy_OpEx]]</f>
        <v>135.82176384000002</v>
      </c>
      <c r="D28">
        <v>1</v>
      </c>
      <c r="E28" s="41">
        <f t="shared" si="0"/>
        <v>2509.5138544220863</v>
      </c>
      <c r="F28">
        <f t="shared" si="1"/>
        <v>135.82176384000002</v>
      </c>
    </row>
    <row r="29" spans="1:6" x14ac:dyDescent="0.2">
      <c r="A29" t="str">
        <f>Alice_Master_Analysis_View[[#This Row],[flight_id]]</f>
        <v>FL-00028</v>
      </c>
      <c r="B29" s="9">
        <f>Alice_Master_Analysis_View[[#This Row],[Net_Profit_60]]</f>
        <v>2425.4786773845735</v>
      </c>
      <c r="C29" s="40">
        <f>Alice_Master_Analysis_View[[#This Row],[Sortie_60_energy_OpEx]]</f>
        <v>133.27581119999999</v>
      </c>
      <c r="D29">
        <v>1</v>
      </c>
      <c r="E29" s="41">
        <f t="shared" si="0"/>
        <v>2425.4786773845735</v>
      </c>
      <c r="F29">
        <f t="shared" si="1"/>
        <v>133.27581119999999</v>
      </c>
    </row>
    <row r="30" spans="1:6" x14ac:dyDescent="0.2">
      <c r="A30" t="str">
        <f>Alice_Master_Analysis_View[[#This Row],[flight_id]]</f>
        <v>FL-00029</v>
      </c>
      <c r="B30" s="9">
        <f>Alice_Master_Analysis_View[[#This Row],[Net_Profit_60]]</f>
        <v>1533.3047404075539</v>
      </c>
      <c r="C30" s="40">
        <f>Alice_Master_Analysis_View[[#This Row],[Sortie_60_energy_OpEx]]</f>
        <v>135.71483520000001</v>
      </c>
      <c r="D30">
        <v>1</v>
      </c>
      <c r="E30" s="41">
        <f t="shared" si="0"/>
        <v>1533.3047404075539</v>
      </c>
      <c r="F30">
        <f t="shared" si="1"/>
        <v>135.71483520000001</v>
      </c>
    </row>
    <row r="31" spans="1:6" x14ac:dyDescent="0.2">
      <c r="A31" t="str">
        <f>Alice_Master_Analysis_View[[#This Row],[flight_id]]</f>
        <v>FL-00030</v>
      </c>
      <c r="B31" s="9">
        <f>Alice_Master_Analysis_View[[#This Row],[Net_Profit_60]]</f>
        <v>-16.095013983361696</v>
      </c>
      <c r="C31" s="40">
        <f>Alice_Master_Analysis_View[[#This Row],[Sortie_60_energy_OpEx]]</f>
        <v>121.93680575999998</v>
      </c>
      <c r="D31">
        <v>0</v>
      </c>
      <c r="E31" s="41">
        <f t="shared" si="0"/>
        <v>0</v>
      </c>
      <c r="F31">
        <f t="shared" si="1"/>
        <v>0</v>
      </c>
    </row>
    <row r="32" spans="1:6" x14ac:dyDescent="0.2">
      <c r="A32" t="str">
        <f>Alice_Master_Analysis_View[[#This Row],[flight_id]]</f>
        <v>FL-00031</v>
      </c>
      <c r="B32" s="9">
        <f>Alice_Master_Analysis_View[[#This Row],[Net_Profit_60]]</f>
        <v>2552.6297731439477</v>
      </c>
      <c r="C32" s="40">
        <f>Alice_Master_Analysis_View[[#This Row],[Sortie_60_energy_OpEx]]</f>
        <v>135.65246016</v>
      </c>
      <c r="D32">
        <v>1</v>
      </c>
      <c r="E32" s="41">
        <f t="shared" si="0"/>
        <v>2552.6297731439477</v>
      </c>
      <c r="F32">
        <f t="shared" si="1"/>
        <v>135.65246016</v>
      </c>
    </row>
    <row r="33" spans="1:6" x14ac:dyDescent="0.2">
      <c r="A33" t="str">
        <f>Alice_Master_Analysis_View[[#This Row],[flight_id]]</f>
        <v>FL-00032</v>
      </c>
      <c r="B33" s="9">
        <f>Alice_Master_Analysis_View[[#This Row],[Net_Profit_60]]</f>
        <v>-212.8167254663374</v>
      </c>
      <c r="C33" s="40">
        <f>Alice_Master_Analysis_View[[#This Row],[Sortie_60_energy_OpEx]]</f>
        <v>116.84033087999997</v>
      </c>
      <c r="D33">
        <v>0</v>
      </c>
      <c r="E33" s="41">
        <f t="shared" si="0"/>
        <v>0</v>
      </c>
      <c r="F33">
        <f t="shared" si="1"/>
        <v>0</v>
      </c>
    </row>
    <row r="34" spans="1:6" x14ac:dyDescent="0.2">
      <c r="A34" t="str">
        <f>Alice_Master_Analysis_View[[#This Row],[flight_id]]</f>
        <v>FL-00033</v>
      </c>
      <c r="B34" s="9">
        <f>Alice_Master_Analysis_View[[#This Row],[Net_Profit_60]]</f>
        <v>-67.030778740289179</v>
      </c>
      <c r="C34" s="40">
        <f>Alice_Master_Analysis_View[[#This Row],[Sortie_60_energy_OpEx]]</f>
        <v>121.86437760000001</v>
      </c>
      <c r="D34">
        <v>0</v>
      </c>
      <c r="E34" s="41">
        <f t="shared" si="0"/>
        <v>0</v>
      </c>
      <c r="F34">
        <f t="shared" si="1"/>
        <v>0</v>
      </c>
    </row>
    <row r="35" spans="1:6" x14ac:dyDescent="0.2">
      <c r="A35" t="str">
        <f>Alice_Master_Analysis_View[[#This Row],[flight_id]]</f>
        <v>FL-00034</v>
      </c>
      <c r="B35" s="9">
        <f>Alice_Master_Analysis_View[[#This Row],[Net_Profit_60]]</f>
        <v>903.88950434135018</v>
      </c>
      <c r="C35" s="40">
        <f>Alice_Master_Analysis_View[[#This Row],[Sortie_60_energy_OpEx]]</f>
        <v>121.48281600000001</v>
      </c>
      <c r="D35">
        <v>1</v>
      </c>
      <c r="E35" s="41">
        <f t="shared" si="0"/>
        <v>903.88950434135018</v>
      </c>
      <c r="F35">
        <f t="shared" si="1"/>
        <v>121.48281600000001</v>
      </c>
    </row>
    <row r="36" spans="1:6" x14ac:dyDescent="0.2">
      <c r="A36" t="str">
        <f>Alice_Master_Analysis_View[[#This Row],[flight_id]]</f>
        <v>FL-00035</v>
      </c>
      <c r="B36" s="9">
        <f>Alice_Master_Analysis_View[[#This Row],[Net_Profit_60]]</f>
        <v>1329.9084117034331</v>
      </c>
      <c r="C36" s="40">
        <f>Alice_Master_Analysis_View[[#This Row],[Sortie_60_energy_OpEx]]</f>
        <v>121.22714688000001</v>
      </c>
      <c r="D36">
        <v>1</v>
      </c>
      <c r="E36" s="41">
        <f t="shared" si="0"/>
        <v>1329.9084117034331</v>
      </c>
      <c r="F36">
        <f t="shared" si="1"/>
        <v>121.22714688000001</v>
      </c>
    </row>
    <row r="37" spans="1:6" x14ac:dyDescent="0.2">
      <c r="A37" t="str">
        <f>Alice_Master_Analysis_View[[#This Row],[flight_id]]</f>
        <v>FL-00036</v>
      </c>
      <c r="B37" s="9">
        <f>Alice_Master_Analysis_View[[#This Row],[Net_Profit_60]]</f>
        <v>2161.788539541411</v>
      </c>
      <c r="C37" s="40">
        <f>Alice_Master_Analysis_View[[#This Row],[Sortie_60_energy_OpEx]]</f>
        <v>135.80577024000002</v>
      </c>
      <c r="D37">
        <v>1</v>
      </c>
      <c r="E37" s="41">
        <f t="shared" si="0"/>
        <v>2161.788539541411</v>
      </c>
      <c r="F37">
        <f t="shared" si="1"/>
        <v>135.80577024000002</v>
      </c>
    </row>
    <row r="38" spans="1:6" x14ac:dyDescent="0.2">
      <c r="A38" t="str">
        <f>Alice_Master_Analysis_View[[#This Row],[flight_id]]</f>
        <v>FL-00037</v>
      </c>
      <c r="B38" s="9">
        <f>Alice_Master_Analysis_View[[#This Row],[Net_Profit_60]]</f>
        <v>1965.5575039161304</v>
      </c>
      <c r="C38" s="40">
        <f>Alice_Master_Analysis_View[[#This Row],[Sortie_60_energy_OpEx]]</f>
        <v>135.79777343999999</v>
      </c>
      <c r="D38">
        <v>1</v>
      </c>
      <c r="E38" s="41">
        <f t="shared" si="0"/>
        <v>1965.5575039161304</v>
      </c>
      <c r="F38">
        <f t="shared" si="1"/>
        <v>135.79777343999999</v>
      </c>
    </row>
    <row r="39" spans="1:6" x14ac:dyDescent="0.2">
      <c r="A39" t="str">
        <f>Alice_Master_Analysis_View[[#This Row],[flight_id]]</f>
        <v>FL-00038</v>
      </c>
      <c r="B39" s="9">
        <f>Alice_Master_Analysis_View[[#This Row],[Net_Profit_60]]</f>
        <v>-273.9834125175903</v>
      </c>
      <c r="C39" s="40">
        <f>Alice_Master_Analysis_View[[#This Row],[Sortie_60_energy_OpEx]]</f>
        <v>116.63584127999999</v>
      </c>
      <c r="D39">
        <v>0</v>
      </c>
      <c r="E39" s="41">
        <f t="shared" si="0"/>
        <v>0</v>
      </c>
      <c r="F39">
        <f t="shared" si="1"/>
        <v>0</v>
      </c>
    </row>
    <row r="40" spans="1:6" x14ac:dyDescent="0.2">
      <c r="A40" t="str">
        <f>Alice_Master_Analysis_View[[#This Row],[flight_id]]</f>
        <v>FL-00039</v>
      </c>
      <c r="B40" s="9">
        <f>Alice_Master_Analysis_View[[#This Row],[Net_Profit_60]]</f>
        <v>-1.4033934625083475</v>
      </c>
      <c r="C40" s="40">
        <f>Alice_Master_Analysis_View[[#This Row],[Sortie_60_energy_OpEx]]</f>
        <v>121.36057920000002</v>
      </c>
      <c r="D40">
        <v>0</v>
      </c>
      <c r="E40" s="41">
        <f t="shared" si="0"/>
        <v>0</v>
      </c>
      <c r="F40">
        <f t="shared" si="1"/>
        <v>0</v>
      </c>
    </row>
    <row r="41" spans="1:6" x14ac:dyDescent="0.2">
      <c r="A41" t="str">
        <f>Alice_Master_Analysis_View[[#This Row],[flight_id]]</f>
        <v>FL-00040</v>
      </c>
      <c r="B41" s="9">
        <f>Alice_Master_Analysis_View[[#This Row],[Net_Profit_60]]</f>
        <v>1703.1079092835512</v>
      </c>
      <c r="C41" s="40">
        <f>Alice_Master_Analysis_View[[#This Row],[Sortie_60_energy_OpEx]]</f>
        <v>135.79480319999999</v>
      </c>
      <c r="D41">
        <v>1</v>
      </c>
      <c r="E41" s="41">
        <f t="shared" si="0"/>
        <v>1703.1079092835512</v>
      </c>
      <c r="F41">
        <f t="shared" si="1"/>
        <v>135.79480319999999</v>
      </c>
    </row>
    <row r="42" spans="1:6" x14ac:dyDescent="0.2">
      <c r="A42" t="str">
        <f>Alice_Master_Analysis_View[[#This Row],[flight_id]]</f>
        <v>FL-00041</v>
      </c>
      <c r="B42" s="9">
        <f>Alice_Master_Analysis_View[[#This Row],[Net_Profit_60]]</f>
        <v>-19.524314498653212</v>
      </c>
      <c r="C42" s="40">
        <f>Alice_Master_Analysis_View[[#This Row],[Sortie_60_energy_OpEx]]</f>
        <v>121.67496768000001</v>
      </c>
      <c r="D42">
        <v>0</v>
      </c>
      <c r="E42" s="41">
        <f t="shared" si="0"/>
        <v>0</v>
      </c>
      <c r="F42">
        <f t="shared" si="1"/>
        <v>0</v>
      </c>
    </row>
    <row r="43" spans="1:6" x14ac:dyDescent="0.2">
      <c r="A43" t="str">
        <f>Alice_Master_Analysis_View[[#This Row],[flight_id]]</f>
        <v>FL-00042</v>
      </c>
      <c r="B43" s="9">
        <f>Alice_Master_Analysis_View[[#This Row],[Net_Profit_60]]</f>
        <v>2327.5257528501879</v>
      </c>
      <c r="C43" s="40">
        <f>Alice_Master_Analysis_View[[#This Row],[Sortie_60_energy_OpEx]]</f>
        <v>135.79480319999999</v>
      </c>
      <c r="D43">
        <v>1</v>
      </c>
      <c r="E43" s="41">
        <f t="shared" si="0"/>
        <v>2327.5257528501879</v>
      </c>
      <c r="F43">
        <f t="shared" si="1"/>
        <v>135.79480319999999</v>
      </c>
    </row>
    <row r="44" spans="1:6" x14ac:dyDescent="0.2">
      <c r="A44" t="str">
        <f>Alice_Master_Analysis_View[[#This Row],[flight_id]]</f>
        <v>FL-00043</v>
      </c>
      <c r="B44" s="9">
        <f>Alice_Master_Analysis_View[[#This Row],[Net_Profit_60]]</f>
        <v>1580.5404880038204</v>
      </c>
      <c r="C44" s="40">
        <f>Alice_Master_Analysis_View[[#This Row],[Sortie_60_energy_OpEx]]</f>
        <v>135.80577024000002</v>
      </c>
      <c r="D44">
        <v>1</v>
      </c>
      <c r="E44" s="41">
        <f t="shared" si="0"/>
        <v>1580.5404880038204</v>
      </c>
      <c r="F44">
        <f t="shared" si="1"/>
        <v>135.80577024000002</v>
      </c>
    </row>
    <row r="45" spans="1:6" x14ac:dyDescent="0.2">
      <c r="A45" t="str">
        <f>Alice_Master_Analysis_View[[#This Row],[flight_id]]</f>
        <v>FL-00044</v>
      </c>
      <c r="B45" s="9">
        <f>Alice_Master_Analysis_View[[#This Row],[Net_Profit_60]]</f>
        <v>836.06611162764466</v>
      </c>
      <c r="C45" s="40">
        <f>Alice_Master_Analysis_View[[#This Row],[Sortie_60_energy_OpEx]]</f>
        <v>121.33270463999999</v>
      </c>
      <c r="D45">
        <v>1</v>
      </c>
      <c r="E45" s="41">
        <f t="shared" si="0"/>
        <v>836.06611162764466</v>
      </c>
      <c r="F45">
        <f t="shared" si="1"/>
        <v>121.33270463999999</v>
      </c>
    </row>
    <row r="46" spans="1:6" x14ac:dyDescent="0.2">
      <c r="A46" t="str">
        <f>Alice_Master_Analysis_View[[#This Row],[flight_id]]</f>
        <v>FL-00045</v>
      </c>
      <c r="B46" s="9">
        <f>Alice_Master_Analysis_View[[#This Row],[Net_Profit_60]]</f>
        <v>1092.0091365705775</v>
      </c>
      <c r="C46" s="40">
        <f>Alice_Master_Analysis_View[[#This Row],[Sortie_60_energy_OpEx]]</f>
        <v>135.80942592</v>
      </c>
      <c r="D46">
        <v>1</v>
      </c>
      <c r="E46" s="41">
        <f t="shared" si="0"/>
        <v>1092.0091365705775</v>
      </c>
      <c r="F46">
        <f t="shared" si="1"/>
        <v>135.80942592</v>
      </c>
    </row>
    <row r="47" spans="1:6" x14ac:dyDescent="0.2">
      <c r="A47" t="str">
        <f>Alice_Master_Analysis_View[[#This Row],[flight_id]]</f>
        <v>FL-00046</v>
      </c>
      <c r="B47" s="9">
        <f>Alice_Master_Analysis_View[[#This Row],[Net_Profit_60]]</f>
        <v>-283.38120168995738</v>
      </c>
      <c r="C47" s="40">
        <f>Alice_Master_Analysis_View[[#This Row],[Sortie_60_energy_OpEx]]</f>
        <v>114.68736383999997</v>
      </c>
      <c r="D47">
        <v>0</v>
      </c>
      <c r="E47" s="41">
        <f t="shared" si="0"/>
        <v>0</v>
      </c>
      <c r="F47">
        <f t="shared" si="1"/>
        <v>0</v>
      </c>
    </row>
    <row r="48" spans="1:6" x14ac:dyDescent="0.2">
      <c r="A48" t="str">
        <f>Alice_Master_Analysis_View[[#This Row],[flight_id]]</f>
        <v>FL-00047</v>
      </c>
      <c r="B48" s="9">
        <f>Alice_Master_Analysis_View[[#This Row],[Net_Profit_60]]</f>
        <v>2579.903892022196</v>
      </c>
      <c r="C48" s="40">
        <f>Alice_Master_Analysis_View[[#This Row],[Sortie_60_energy_OpEx]]</f>
        <v>135.80851200000001</v>
      </c>
      <c r="D48">
        <v>1</v>
      </c>
      <c r="E48" s="41">
        <f t="shared" si="0"/>
        <v>2579.903892022196</v>
      </c>
      <c r="F48">
        <f t="shared" si="1"/>
        <v>135.80851200000001</v>
      </c>
    </row>
    <row r="49" spans="1:6" x14ac:dyDescent="0.2">
      <c r="A49" t="str">
        <f>Alice_Master_Analysis_View[[#This Row],[flight_id]]</f>
        <v>FL-00048</v>
      </c>
      <c r="B49" s="9">
        <f>Alice_Master_Analysis_View[[#This Row],[Net_Profit_60]]</f>
        <v>299.54064166143894</v>
      </c>
      <c r="C49" s="40">
        <f>Alice_Master_Analysis_View[[#This Row],[Sortie_60_energy_OpEx]]</f>
        <v>118.46528064</v>
      </c>
      <c r="D49">
        <v>0</v>
      </c>
      <c r="E49" s="41">
        <f t="shared" si="0"/>
        <v>0</v>
      </c>
      <c r="F49">
        <f t="shared" si="1"/>
        <v>0</v>
      </c>
    </row>
    <row r="50" spans="1:6" x14ac:dyDescent="0.2">
      <c r="A50" t="str">
        <f>Alice_Master_Analysis_View[[#This Row],[flight_id]]</f>
        <v>FL-00049</v>
      </c>
      <c r="B50" s="9">
        <f>Alice_Master_Analysis_View[[#This Row],[Net_Profit_60]]</f>
        <v>-624.64689880115463</v>
      </c>
      <c r="C50" s="40">
        <f>Alice_Master_Analysis_View[[#This Row],[Sortie_60_energy_OpEx]]</f>
        <v>121.67016959999999</v>
      </c>
      <c r="D50">
        <v>0</v>
      </c>
      <c r="E50" s="41">
        <f t="shared" si="0"/>
        <v>0</v>
      </c>
      <c r="F50">
        <f t="shared" si="1"/>
        <v>0</v>
      </c>
    </row>
    <row r="51" spans="1:6" x14ac:dyDescent="0.2">
      <c r="A51" t="str">
        <f>Alice_Master_Analysis_View[[#This Row],[flight_id]]</f>
        <v>FL-00050</v>
      </c>
      <c r="B51" s="9">
        <f>Alice_Master_Analysis_View[[#This Row],[Net_Profit_60]]</f>
        <v>7.7853237998281202</v>
      </c>
      <c r="C51" s="40">
        <f>Alice_Master_Analysis_View[[#This Row],[Sortie_60_energy_OpEx]]</f>
        <v>121.88951040000001</v>
      </c>
      <c r="D51">
        <v>0</v>
      </c>
      <c r="E51" s="41">
        <f t="shared" si="0"/>
        <v>0</v>
      </c>
      <c r="F51">
        <f t="shared" si="1"/>
        <v>0</v>
      </c>
    </row>
    <row r="52" spans="1:6" x14ac:dyDescent="0.2">
      <c r="A52" t="str">
        <f>Alice_Master_Analysis_View[[#This Row],[flight_id]]</f>
        <v>FL-00051</v>
      </c>
      <c r="B52" s="9">
        <f>Alice_Master_Analysis_View[[#This Row],[Net_Profit_60]]</f>
        <v>2112.344555367501</v>
      </c>
      <c r="C52" s="40">
        <f>Alice_Master_Analysis_View[[#This Row],[Sortie_60_energy_OpEx]]</f>
        <v>135.60493631999998</v>
      </c>
      <c r="D52">
        <v>1</v>
      </c>
      <c r="E52" s="41">
        <f t="shared" si="0"/>
        <v>2112.344555367501</v>
      </c>
      <c r="F52">
        <f t="shared" si="1"/>
        <v>135.60493631999998</v>
      </c>
    </row>
    <row r="53" spans="1:6" x14ac:dyDescent="0.2">
      <c r="A53" t="str">
        <f>Alice_Master_Analysis_View[[#This Row],[flight_id]]</f>
        <v>FL-00052</v>
      </c>
      <c r="B53" s="9">
        <f>Alice_Master_Analysis_View[[#This Row],[Net_Profit_60]]</f>
        <v>-290.07727852787752</v>
      </c>
      <c r="C53" s="40">
        <f>Alice_Master_Analysis_View[[#This Row],[Sortie_60_energy_OpEx]]</f>
        <v>121.81936704</v>
      </c>
      <c r="D53">
        <v>0</v>
      </c>
      <c r="E53" s="41">
        <f t="shared" si="0"/>
        <v>0</v>
      </c>
      <c r="F53">
        <f t="shared" si="1"/>
        <v>0</v>
      </c>
    </row>
    <row r="54" spans="1:6" x14ac:dyDescent="0.2">
      <c r="A54" t="str">
        <f>Alice_Master_Analysis_View[[#This Row],[flight_id]]</f>
        <v>FL-00053</v>
      </c>
      <c r="B54" s="9">
        <f>Alice_Master_Analysis_View[[#This Row],[Net_Profit_60]]</f>
        <v>2268.8246280272324</v>
      </c>
      <c r="C54" s="40">
        <f>Alice_Master_Analysis_View[[#This Row],[Sortie_60_energy_OpEx]]</f>
        <v>135.79937280000001</v>
      </c>
      <c r="D54">
        <v>1</v>
      </c>
      <c r="E54" s="41">
        <f t="shared" si="0"/>
        <v>2268.8246280272324</v>
      </c>
      <c r="F54">
        <f t="shared" si="1"/>
        <v>135.79937280000001</v>
      </c>
    </row>
    <row r="55" spans="1:6" x14ac:dyDescent="0.2">
      <c r="A55" t="str">
        <f>Alice_Master_Analysis_View[[#This Row],[flight_id]]</f>
        <v>FL-00054</v>
      </c>
      <c r="B55" s="9">
        <f>Alice_Master_Analysis_View[[#This Row],[Net_Profit_60]]</f>
        <v>1393.2407832776648</v>
      </c>
      <c r="C55" s="40">
        <f>Alice_Master_Analysis_View[[#This Row],[Sortie_60_energy_OpEx]]</f>
        <v>121.82188032000002</v>
      </c>
      <c r="D55">
        <v>1</v>
      </c>
      <c r="E55" s="41">
        <f t="shared" si="0"/>
        <v>1393.2407832776648</v>
      </c>
      <c r="F55">
        <f t="shared" si="1"/>
        <v>121.82188032000002</v>
      </c>
    </row>
    <row r="56" spans="1:6" x14ac:dyDescent="0.2">
      <c r="A56" t="str">
        <f>Alice_Master_Analysis_View[[#This Row],[flight_id]]</f>
        <v>FL-00055</v>
      </c>
      <c r="B56" s="9">
        <f>Alice_Master_Analysis_View[[#This Row],[Net_Profit_60]]</f>
        <v>2544.7220003823149</v>
      </c>
      <c r="C56" s="40">
        <f>Alice_Master_Analysis_View[[#This Row],[Sortie_60_energy_OpEx]]</f>
        <v>135.79114752000001</v>
      </c>
      <c r="D56">
        <v>1</v>
      </c>
      <c r="E56" s="41">
        <f t="shared" si="0"/>
        <v>2544.7220003823149</v>
      </c>
      <c r="F56">
        <f t="shared" si="1"/>
        <v>135.79114752000001</v>
      </c>
    </row>
    <row r="57" spans="1:6" x14ac:dyDescent="0.2">
      <c r="A57" t="str">
        <f>Alice_Master_Analysis_View[[#This Row],[flight_id]]</f>
        <v>FL-00056</v>
      </c>
      <c r="B57" s="9">
        <f>Alice_Master_Analysis_View[[#This Row],[Net_Profit_60]]</f>
        <v>-411.22859559891481</v>
      </c>
      <c r="C57" s="40">
        <f>Alice_Master_Analysis_View[[#This Row],[Sortie_60_energy_OpEx]]</f>
        <v>118.79954688000002</v>
      </c>
      <c r="D57">
        <v>0</v>
      </c>
      <c r="E57" s="41">
        <f t="shared" si="0"/>
        <v>0</v>
      </c>
      <c r="F57">
        <f t="shared" si="1"/>
        <v>0</v>
      </c>
    </row>
    <row r="58" spans="1:6" x14ac:dyDescent="0.2">
      <c r="A58" t="str">
        <f>Alice_Master_Analysis_View[[#This Row],[flight_id]]</f>
        <v>FL-00057</v>
      </c>
      <c r="B58" s="9">
        <f>Alice_Master_Analysis_View[[#This Row],[Net_Profit_60]]</f>
        <v>2544.0592001425266</v>
      </c>
      <c r="C58" s="40">
        <f>Alice_Master_Analysis_View[[#This Row],[Sortie_60_energy_OpEx]]</f>
        <v>135.76761408000002</v>
      </c>
      <c r="D58">
        <v>1</v>
      </c>
      <c r="E58" s="41">
        <f t="shared" si="0"/>
        <v>2544.0592001425266</v>
      </c>
      <c r="F58">
        <f t="shared" si="1"/>
        <v>135.76761408000002</v>
      </c>
    </row>
    <row r="59" spans="1:6" x14ac:dyDescent="0.2">
      <c r="A59" t="str">
        <f>Alice_Master_Analysis_View[[#This Row],[flight_id]]</f>
        <v>FL-00058</v>
      </c>
      <c r="B59" s="9">
        <f>Alice_Master_Analysis_View[[#This Row],[Net_Profit_60]]</f>
        <v>792.03833497296114</v>
      </c>
      <c r="C59" s="40">
        <f>Alice_Master_Analysis_View[[#This Row],[Sortie_60_energy_OpEx]]</f>
        <v>122.03756544000002</v>
      </c>
      <c r="D59">
        <v>1</v>
      </c>
      <c r="E59" s="41">
        <f t="shared" si="0"/>
        <v>792.03833497296114</v>
      </c>
      <c r="F59">
        <f t="shared" si="1"/>
        <v>122.03756544000002</v>
      </c>
    </row>
    <row r="60" spans="1:6" x14ac:dyDescent="0.2">
      <c r="A60" t="str">
        <f>Alice_Master_Analysis_View[[#This Row],[flight_id]]</f>
        <v>FL-00059</v>
      </c>
      <c r="B60" s="9">
        <f>Alice_Master_Analysis_View[[#This Row],[Net_Profit_60]]</f>
        <v>2209.4124980533534</v>
      </c>
      <c r="C60" s="40">
        <f>Alice_Master_Analysis_View[[#This Row],[Sortie_60_energy_OpEx]]</f>
        <v>135.82290624000001</v>
      </c>
      <c r="D60">
        <v>1</v>
      </c>
      <c r="E60" s="41">
        <f t="shared" si="0"/>
        <v>2209.4124980533534</v>
      </c>
      <c r="F60">
        <f t="shared" si="1"/>
        <v>135.82290624000001</v>
      </c>
    </row>
    <row r="61" spans="1:6" x14ac:dyDescent="0.2">
      <c r="A61" t="str">
        <f>Alice_Master_Analysis_View[[#This Row],[flight_id]]</f>
        <v>FL-00060</v>
      </c>
      <c r="B61" s="9">
        <f>Alice_Master_Analysis_View[[#This Row],[Net_Profit_60]]</f>
        <v>709.85502285369421</v>
      </c>
      <c r="C61" s="40">
        <f>Alice_Master_Analysis_View[[#This Row],[Sortie_60_energy_OpEx]]</f>
        <v>121.74168384000001</v>
      </c>
      <c r="D61">
        <v>1</v>
      </c>
      <c r="E61" s="41">
        <f t="shared" si="0"/>
        <v>709.85502285369421</v>
      </c>
      <c r="F61">
        <f t="shared" si="1"/>
        <v>121.74168384000001</v>
      </c>
    </row>
    <row r="62" spans="1:6" x14ac:dyDescent="0.2">
      <c r="A62" t="str">
        <f>Alice_Master_Analysis_View[[#This Row],[flight_id]]</f>
        <v>FL-00061</v>
      </c>
      <c r="B62" s="9">
        <f>Alice_Master_Analysis_View[[#This Row],[Net_Profit_60]]</f>
        <v>-316.77316010789627</v>
      </c>
      <c r="C62" s="40">
        <f>Alice_Master_Analysis_View[[#This Row],[Sortie_60_energy_OpEx]]</f>
        <v>121.82530752000002</v>
      </c>
      <c r="D62">
        <v>0</v>
      </c>
      <c r="E62" s="41">
        <f t="shared" si="0"/>
        <v>0</v>
      </c>
      <c r="F62">
        <f t="shared" si="1"/>
        <v>0</v>
      </c>
    </row>
    <row r="63" spans="1:6" x14ac:dyDescent="0.2">
      <c r="A63" t="str">
        <f>Alice_Master_Analysis_View[[#This Row],[flight_id]]</f>
        <v>FL-00062</v>
      </c>
      <c r="B63" s="9">
        <f>Alice_Master_Analysis_View[[#This Row],[Net_Profit_60]]</f>
        <v>2458.5783948156068</v>
      </c>
      <c r="C63" s="40">
        <f>Alice_Master_Analysis_View[[#This Row],[Sortie_60_energy_OpEx]]</f>
        <v>135.80462784000002</v>
      </c>
      <c r="D63">
        <v>1</v>
      </c>
      <c r="E63" s="41">
        <f t="shared" si="0"/>
        <v>2458.5783948156068</v>
      </c>
      <c r="F63">
        <f t="shared" si="1"/>
        <v>135.80462784000002</v>
      </c>
    </row>
    <row r="64" spans="1:6" x14ac:dyDescent="0.2">
      <c r="A64" t="str">
        <f>Alice_Master_Analysis_View[[#This Row],[flight_id]]</f>
        <v>FL-00063</v>
      </c>
      <c r="B64" s="9">
        <f>Alice_Master_Analysis_View[[#This Row],[Net_Profit_60]]</f>
        <v>-596.17194414412984</v>
      </c>
      <c r="C64" s="40">
        <f>Alice_Master_Analysis_View[[#This Row],[Sortie_60_energy_OpEx]]</f>
        <v>119.04379200000004</v>
      </c>
      <c r="D64">
        <v>0</v>
      </c>
      <c r="E64" s="41">
        <f t="shared" si="0"/>
        <v>0</v>
      </c>
      <c r="F64">
        <f t="shared" si="1"/>
        <v>0</v>
      </c>
    </row>
    <row r="65" spans="1:6" x14ac:dyDescent="0.2">
      <c r="A65" t="str">
        <f>Alice_Master_Analysis_View[[#This Row],[flight_id]]</f>
        <v>FL-00064</v>
      </c>
      <c r="B65" s="9">
        <f>Alice_Master_Analysis_View[[#This Row],[Net_Profit_60]]</f>
        <v>888.70430539388894</v>
      </c>
      <c r="C65" s="40">
        <f>Alice_Master_Analysis_View[[#This Row],[Sortie_60_energy_OpEx]]</f>
        <v>121.37405952000002</v>
      </c>
      <c r="D65">
        <v>1</v>
      </c>
      <c r="E65" s="41">
        <f t="shared" si="0"/>
        <v>888.70430539388894</v>
      </c>
      <c r="F65">
        <f t="shared" si="1"/>
        <v>121.37405952000002</v>
      </c>
    </row>
    <row r="66" spans="1:6" x14ac:dyDescent="0.2">
      <c r="A66" t="str">
        <f>Alice_Master_Analysis_View[[#This Row],[flight_id]]</f>
        <v>FL-00065</v>
      </c>
      <c r="B66" s="9">
        <f>Alice_Master_Analysis_View[[#This Row],[Net_Profit_60]]</f>
        <v>659.41090372382769</v>
      </c>
      <c r="C66" s="40">
        <f>Alice_Master_Analysis_View[[#This Row],[Sortie_60_energy_OpEx]]</f>
        <v>122.11364928000002</v>
      </c>
      <c r="D66">
        <v>1</v>
      </c>
      <c r="E66" s="41">
        <f t="shared" si="0"/>
        <v>659.41090372382769</v>
      </c>
      <c r="F66">
        <f t="shared" si="1"/>
        <v>122.11364928000002</v>
      </c>
    </row>
    <row r="67" spans="1:6" x14ac:dyDescent="0.2">
      <c r="A67" t="str">
        <f>Alice_Master_Analysis_View[[#This Row],[flight_id]]</f>
        <v>FL-00066</v>
      </c>
      <c r="B67" s="9">
        <f>Alice_Master_Analysis_View[[#This Row],[Net_Profit_60]]</f>
        <v>580.67535763888714</v>
      </c>
      <c r="C67" s="40">
        <f>Alice_Master_Analysis_View[[#This Row],[Sortie_60_energy_OpEx]]</f>
        <v>121.87374528000002</v>
      </c>
      <c r="D67">
        <v>0</v>
      </c>
      <c r="E67" s="41">
        <f t="shared" ref="E67:E101" si="2">B67*D67</f>
        <v>0</v>
      </c>
      <c r="F67">
        <f t="shared" ref="F67:F101" si="3">C67*D67</f>
        <v>0</v>
      </c>
    </row>
    <row r="68" spans="1:6" x14ac:dyDescent="0.2">
      <c r="A68" t="str">
        <f>Alice_Master_Analysis_View[[#This Row],[flight_id]]</f>
        <v>FL-00067</v>
      </c>
      <c r="B68" s="9">
        <f>Alice_Master_Analysis_View[[#This Row],[Net_Profit_60]]</f>
        <v>955.72387843623233</v>
      </c>
      <c r="C68" s="40">
        <f>Alice_Master_Analysis_View[[#This Row],[Sortie_60_energy_OpEx]]</f>
        <v>121.88356992</v>
      </c>
      <c r="D68">
        <v>1</v>
      </c>
      <c r="E68" s="41">
        <f t="shared" si="2"/>
        <v>955.72387843623233</v>
      </c>
      <c r="F68">
        <f t="shared" si="3"/>
        <v>121.88356992</v>
      </c>
    </row>
    <row r="69" spans="1:6" x14ac:dyDescent="0.2">
      <c r="A69" t="str">
        <f>Alice_Master_Analysis_View[[#This Row],[flight_id]]</f>
        <v>FL-00068</v>
      </c>
      <c r="B69" s="9">
        <f>Alice_Master_Analysis_View[[#This Row],[Net_Profit_60]]</f>
        <v>-492.07783928258937</v>
      </c>
      <c r="C69" s="40">
        <f>Alice_Master_Analysis_View[[#This Row],[Sortie_60_energy_OpEx]]</f>
        <v>121.91144447999999</v>
      </c>
      <c r="D69">
        <v>0</v>
      </c>
      <c r="E69" s="41">
        <f t="shared" si="2"/>
        <v>0</v>
      </c>
      <c r="F69">
        <f t="shared" si="3"/>
        <v>0</v>
      </c>
    </row>
    <row r="70" spans="1:6" x14ac:dyDescent="0.2">
      <c r="A70" t="str">
        <f>Alice_Master_Analysis_View[[#This Row],[flight_id]]</f>
        <v>FL-00069</v>
      </c>
      <c r="B70" s="9">
        <f>Alice_Master_Analysis_View[[#This Row],[Net_Profit_60]]</f>
        <v>1859.0291069224377</v>
      </c>
      <c r="C70" s="40">
        <f>Alice_Master_Analysis_View[[#This Row],[Sortie_60_energy_OpEx]]</f>
        <v>135.80211455999998</v>
      </c>
      <c r="D70">
        <v>1</v>
      </c>
      <c r="E70" s="41">
        <f t="shared" si="2"/>
        <v>1859.0291069224377</v>
      </c>
      <c r="F70">
        <f t="shared" si="3"/>
        <v>135.80211455999998</v>
      </c>
    </row>
    <row r="71" spans="1:6" x14ac:dyDescent="0.2">
      <c r="A71" t="str">
        <f>Alice_Master_Analysis_View[[#This Row],[flight_id]]</f>
        <v>FL-00070</v>
      </c>
      <c r="B71" s="9">
        <f>Alice_Master_Analysis_View[[#This Row],[Net_Profit_60]]</f>
        <v>-192.73331620443787</v>
      </c>
      <c r="C71" s="40">
        <f>Alice_Master_Analysis_View[[#This Row],[Sortie_60_energy_OpEx]]</f>
        <v>121.47573311999997</v>
      </c>
      <c r="D71">
        <v>0</v>
      </c>
      <c r="E71" s="41">
        <f t="shared" si="2"/>
        <v>0</v>
      </c>
      <c r="F71">
        <f t="shared" si="3"/>
        <v>0</v>
      </c>
    </row>
    <row r="72" spans="1:6" x14ac:dyDescent="0.2">
      <c r="A72" t="str">
        <f>Alice_Master_Analysis_View[[#This Row],[flight_id]]</f>
        <v>FL-00071</v>
      </c>
      <c r="B72" s="9">
        <f>Alice_Master_Analysis_View[[#This Row],[Net_Profit_60]]</f>
        <v>375.46418708767646</v>
      </c>
      <c r="C72" s="40">
        <f>Alice_Master_Analysis_View[[#This Row],[Sortie_60_energy_OpEx]]</f>
        <v>122.16277248</v>
      </c>
      <c r="D72">
        <v>0</v>
      </c>
      <c r="E72" s="41">
        <f t="shared" si="2"/>
        <v>0</v>
      </c>
      <c r="F72">
        <f t="shared" si="3"/>
        <v>0</v>
      </c>
    </row>
    <row r="73" spans="1:6" x14ac:dyDescent="0.2">
      <c r="A73" t="str">
        <f>Alice_Master_Analysis_View[[#This Row],[flight_id]]</f>
        <v>FL-00072</v>
      </c>
      <c r="B73" s="9">
        <f>Alice_Master_Analysis_View[[#This Row],[Net_Profit_60]]</f>
        <v>2723.9234318659701</v>
      </c>
      <c r="C73" s="40">
        <f>Alice_Master_Analysis_View[[#This Row],[Sortie_60_energy_OpEx]]</f>
        <v>135.79982976000002</v>
      </c>
      <c r="D73">
        <v>1</v>
      </c>
      <c r="E73" s="41">
        <f t="shared" si="2"/>
        <v>2723.9234318659701</v>
      </c>
      <c r="F73">
        <f t="shared" si="3"/>
        <v>135.79982976000002</v>
      </c>
    </row>
    <row r="74" spans="1:6" x14ac:dyDescent="0.2">
      <c r="A74" t="str">
        <f>Alice_Master_Analysis_View[[#This Row],[flight_id]]</f>
        <v>FL-00073</v>
      </c>
      <c r="B74" s="9">
        <f>Alice_Master_Analysis_View[[#This Row],[Net_Profit_60]]</f>
        <v>2318.9599912486719</v>
      </c>
      <c r="C74" s="40">
        <f>Alice_Master_Analysis_View[[#This Row],[Sortie_60_energy_OpEx]]</f>
        <v>135.75276288000003</v>
      </c>
      <c r="D74">
        <v>1</v>
      </c>
      <c r="E74" s="41">
        <f t="shared" si="2"/>
        <v>2318.9599912486719</v>
      </c>
      <c r="F74">
        <f t="shared" si="3"/>
        <v>135.75276288000003</v>
      </c>
    </row>
    <row r="75" spans="1:6" x14ac:dyDescent="0.2">
      <c r="A75" t="str">
        <f>Alice_Master_Analysis_View[[#This Row],[flight_id]]</f>
        <v>FL-00074</v>
      </c>
      <c r="B75" s="9">
        <f>Alice_Master_Analysis_View[[#This Row],[Net_Profit_60]]</f>
        <v>1122.161502390067</v>
      </c>
      <c r="C75" s="40">
        <f>Alice_Master_Analysis_View[[#This Row],[Sortie_60_energy_OpEx]]</f>
        <v>122.05744320000001</v>
      </c>
      <c r="D75">
        <v>1</v>
      </c>
      <c r="E75" s="41">
        <f t="shared" si="2"/>
        <v>1122.161502390067</v>
      </c>
      <c r="F75">
        <f t="shared" si="3"/>
        <v>122.05744320000001</v>
      </c>
    </row>
    <row r="76" spans="1:6" x14ac:dyDescent="0.2">
      <c r="A76" t="str">
        <f>Alice_Master_Analysis_View[[#This Row],[flight_id]]</f>
        <v>FL-00075</v>
      </c>
      <c r="B76" s="9">
        <f>Alice_Master_Analysis_View[[#This Row],[Net_Profit_60]]</f>
        <v>765.38193131442836</v>
      </c>
      <c r="C76" s="40">
        <f>Alice_Master_Analysis_View[[#This Row],[Sortie_60_energy_OpEx]]</f>
        <v>121.56598271999999</v>
      </c>
      <c r="D76">
        <v>1</v>
      </c>
      <c r="E76" s="41">
        <f t="shared" si="2"/>
        <v>765.38193131442836</v>
      </c>
      <c r="F76">
        <f t="shared" si="3"/>
        <v>121.56598271999999</v>
      </c>
    </row>
    <row r="77" spans="1:6" x14ac:dyDescent="0.2">
      <c r="A77" t="str">
        <f>Alice_Master_Analysis_View[[#This Row],[flight_id]]</f>
        <v>FL-00076</v>
      </c>
      <c r="B77" s="9">
        <f>Alice_Master_Analysis_View[[#This Row],[Net_Profit_60]]</f>
        <v>2587.7755160829183</v>
      </c>
      <c r="C77" s="40">
        <f>Alice_Master_Analysis_View[[#This Row],[Sortie_60_energy_OpEx]]</f>
        <v>135.81011136000001</v>
      </c>
      <c r="D77">
        <v>1</v>
      </c>
      <c r="E77" s="41">
        <f t="shared" si="2"/>
        <v>2587.7755160829183</v>
      </c>
      <c r="F77">
        <f t="shared" si="3"/>
        <v>135.81011136000001</v>
      </c>
    </row>
    <row r="78" spans="1:6" x14ac:dyDescent="0.2">
      <c r="A78" t="str">
        <f>Alice_Master_Analysis_View[[#This Row],[flight_id]]</f>
        <v>FL-00077</v>
      </c>
      <c r="B78" s="9">
        <f>Alice_Master_Analysis_View[[#This Row],[Net_Profit_60]]</f>
        <v>2518.8191402994858</v>
      </c>
      <c r="C78" s="40">
        <f>Alice_Master_Analysis_View[[#This Row],[Sortie_60_energy_OpEx]]</f>
        <v>135.81216768000002</v>
      </c>
      <c r="D78">
        <v>1</v>
      </c>
      <c r="E78" s="41">
        <f t="shared" si="2"/>
        <v>2518.8191402994858</v>
      </c>
      <c r="F78">
        <f t="shared" si="3"/>
        <v>135.81216768000002</v>
      </c>
    </row>
    <row r="79" spans="1:6" x14ac:dyDescent="0.2">
      <c r="A79" t="str">
        <f>Alice_Master_Analysis_View[[#This Row],[flight_id]]</f>
        <v>FL-00078</v>
      </c>
      <c r="B79" s="9">
        <f>Alice_Master_Analysis_View[[#This Row],[Net_Profit_60]]</f>
        <v>1644.2059183248109</v>
      </c>
      <c r="C79" s="40">
        <f>Alice_Master_Analysis_View[[#This Row],[Sortie_60_energy_OpEx]]</f>
        <v>122.10062592000001</v>
      </c>
      <c r="D79">
        <v>1</v>
      </c>
      <c r="E79" s="41">
        <f t="shared" si="2"/>
        <v>1644.2059183248109</v>
      </c>
      <c r="F79">
        <f t="shared" si="3"/>
        <v>122.10062592000001</v>
      </c>
    </row>
    <row r="80" spans="1:6" x14ac:dyDescent="0.2">
      <c r="A80" t="str">
        <f>Alice_Master_Analysis_View[[#This Row],[flight_id]]</f>
        <v>FL-00079</v>
      </c>
      <c r="B80" s="9">
        <f>Alice_Master_Analysis_View[[#This Row],[Net_Profit_60]]</f>
        <v>433.76244085327107</v>
      </c>
      <c r="C80" s="40">
        <f>Alice_Master_Analysis_View[[#This Row],[Sortie_60_energy_OpEx]]</f>
        <v>135.14432064000002</v>
      </c>
      <c r="D80">
        <v>0</v>
      </c>
      <c r="E80" s="41">
        <f t="shared" si="2"/>
        <v>0</v>
      </c>
      <c r="F80">
        <f t="shared" si="3"/>
        <v>0</v>
      </c>
    </row>
    <row r="81" spans="1:6" x14ac:dyDescent="0.2">
      <c r="A81" t="str">
        <f>Alice_Master_Analysis_View[[#This Row],[flight_id]]</f>
        <v>FL-00080</v>
      </c>
      <c r="B81" s="9">
        <f>Alice_Master_Analysis_View[[#This Row],[Net_Profit_60]]</f>
        <v>2089.3838795170068</v>
      </c>
      <c r="C81" s="40">
        <f>Alice_Master_Analysis_View[[#This Row],[Sortie_60_energy_OpEx]]</f>
        <v>135.81033984000001</v>
      </c>
      <c r="D81">
        <v>1</v>
      </c>
      <c r="E81" s="41">
        <f t="shared" si="2"/>
        <v>2089.3838795170068</v>
      </c>
      <c r="F81">
        <f t="shared" si="3"/>
        <v>135.81033984000001</v>
      </c>
    </row>
    <row r="82" spans="1:6" x14ac:dyDescent="0.2">
      <c r="A82" t="str">
        <f>Alice_Master_Analysis_View[[#This Row],[flight_id]]</f>
        <v>FL-00081</v>
      </c>
      <c r="B82" s="9">
        <f>Alice_Master_Analysis_View[[#This Row],[Net_Profit_60]]</f>
        <v>1424.6667077241971</v>
      </c>
      <c r="C82" s="40">
        <f>Alice_Master_Analysis_View[[#This Row],[Sortie_60_energy_OpEx]]</f>
        <v>121.99483968</v>
      </c>
      <c r="D82">
        <v>1</v>
      </c>
      <c r="E82" s="41">
        <f t="shared" si="2"/>
        <v>1424.6667077241971</v>
      </c>
      <c r="F82">
        <f t="shared" si="3"/>
        <v>121.99483968</v>
      </c>
    </row>
    <row r="83" spans="1:6" x14ac:dyDescent="0.2">
      <c r="A83" t="str">
        <f>Alice_Master_Analysis_View[[#This Row],[flight_id]]</f>
        <v>FL-00082</v>
      </c>
      <c r="B83" s="9">
        <f>Alice_Master_Analysis_View[[#This Row],[Net_Profit_60]]</f>
        <v>-229.4007846382633</v>
      </c>
      <c r="C83" s="40">
        <f>Alice_Master_Analysis_View[[#This Row],[Sortie_60_energy_OpEx]]</f>
        <v>115.51880256000003</v>
      </c>
      <c r="D83">
        <v>0</v>
      </c>
      <c r="E83" s="41">
        <f t="shared" si="2"/>
        <v>0</v>
      </c>
      <c r="F83">
        <f t="shared" si="3"/>
        <v>0</v>
      </c>
    </row>
    <row r="84" spans="1:6" x14ac:dyDescent="0.2">
      <c r="A84" t="str">
        <f>Alice_Master_Analysis_View[[#This Row],[flight_id]]</f>
        <v>FL-00083</v>
      </c>
      <c r="B84" s="9">
        <f>Alice_Master_Analysis_View[[#This Row],[Net_Profit_60]]</f>
        <v>-193.96498781051446</v>
      </c>
      <c r="C84" s="40">
        <f>Alice_Master_Analysis_View[[#This Row],[Sortie_60_energy_OpEx]]</f>
        <v>122.01563136</v>
      </c>
      <c r="D84">
        <v>0</v>
      </c>
      <c r="E84" s="41">
        <f t="shared" si="2"/>
        <v>0</v>
      </c>
      <c r="F84">
        <f t="shared" si="3"/>
        <v>0</v>
      </c>
    </row>
    <row r="85" spans="1:6" x14ac:dyDescent="0.2">
      <c r="A85" t="str">
        <f>Alice_Master_Analysis_View[[#This Row],[flight_id]]</f>
        <v>FL-00084</v>
      </c>
      <c r="B85" s="9">
        <f>Alice_Master_Analysis_View[[#This Row],[Net_Profit_60]]</f>
        <v>273.28650327848095</v>
      </c>
      <c r="C85" s="40">
        <f>Alice_Master_Analysis_View[[#This Row],[Sortie_60_energy_OpEx]]</f>
        <v>121.45014336000001</v>
      </c>
      <c r="D85">
        <v>0</v>
      </c>
      <c r="E85" s="41">
        <f t="shared" si="2"/>
        <v>0</v>
      </c>
      <c r="F85">
        <f t="shared" si="3"/>
        <v>0</v>
      </c>
    </row>
    <row r="86" spans="1:6" x14ac:dyDescent="0.2">
      <c r="A86" t="str">
        <f>Alice_Master_Analysis_View[[#This Row],[flight_id]]</f>
        <v>FL-00085</v>
      </c>
      <c r="B86" s="9">
        <f>Alice_Master_Analysis_View[[#This Row],[Net_Profit_60]]</f>
        <v>1349.0889442636662</v>
      </c>
      <c r="C86" s="40">
        <f>Alice_Master_Analysis_View[[#This Row],[Sortie_60_energy_OpEx]]</f>
        <v>121.91372928000001</v>
      </c>
      <c r="D86">
        <v>1</v>
      </c>
      <c r="E86" s="41">
        <f t="shared" si="2"/>
        <v>1349.0889442636662</v>
      </c>
      <c r="F86">
        <f t="shared" si="3"/>
        <v>121.91372928000001</v>
      </c>
    </row>
    <row r="87" spans="1:6" x14ac:dyDescent="0.2">
      <c r="A87" t="str">
        <f>Alice_Master_Analysis_View[[#This Row],[flight_id]]</f>
        <v>FL-00086</v>
      </c>
      <c r="B87" s="9">
        <f>Alice_Master_Analysis_View[[#This Row],[Net_Profit_60]]</f>
        <v>-555.62937979451499</v>
      </c>
      <c r="C87" s="40">
        <f>Alice_Master_Analysis_View[[#This Row],[Sortie_60_energy_OpEx]]</f>
        <v>119.96707968</v>
      </c>
      <c r="D87">
        <v>0</v>
      </c>
      <c r="E87" s="41">
        <f t="shared" si="2"/>
        <v>0</v>
      </c>
      <c r="F87">
        <f t="shared" si="3"/>
        <v>0</v>
      </c>
    </row>
    <row r="88" spans="1:6" x14ac:dyDescent="0.2">
      <c r="A88" t="str">
        <f>Alice_Master_Analysis_View[[#This Row],[flight_id]]</f>
        <v>FL-00087</v>
      </c>
      <c r="B88" s="9">
        <f>Alice_Master_Analysis_View[[#This Row],[Net_Profit_60]]</f>
        <v>2366.0446437740738</v>
      </c>
      <c r="C88" s="40">
        <f>Alice_Master_Analysis_View[[#This Row],[Sortie_60_energy_OpEx]]</f>
        <v>135.77195520000001</v>
      </c>
      <c r="D88">
        <v>1</v>
      </c>
      <c r="E88" s="41">
        <f t="shared" si="2"/>
        <v>2366.0446437740738</v>
      </c>
      <c r="F88">
        <f t="shared" si="3"/>
        <v>135.77195520000001</v>
      </c>
    </row>
    <row r="89" spans="1:6" x14ac:dyDescent="0.2">
      <c r="A89" t="str">
        <f>Alice_Master_Analysis_View[[#This Row],[flight_id]]</f>
        <v>FL-00088</v>
      </c>
      <c r="B89" s="9">
        <f>Alice_Master_Analysis_View[[#This Row],[Net_Profit_60]]</f>
        <v>-7.336279697627333</v>
      </c>
      <c r="C89" s="40">
        <f>Alice_Master_Analysis_View[[#This Row],[Sortie_60_energy_OpEx]]</f>
        <v>118.82993472000001</v>
      </c>
      <c r="D89">
        <v>0</v>
      </c>
      <c r="E89" s="41">
        <f t="shared" si="2"/>
        <v>0</v>
      </c>
      <c r="F89">
        <f t="shared" si="3"/>
        <v>0</v>
      </c>
    </row>
    <row r="90" spans="1:6" x14ac:dyDescent="0.2">
      <c r="A90" t="str">
        <f>Alice_Master_Analysis_View[[#This Row],[flight_id]]</f>
        <v>FL-00089</v>
      </c>
      <c r="B90" s="9">
        <f>Alice_Master_Analysis_View[[#This Row],[Net_Profit_60]]</f>
        <v>2124.4053848383091</v>
      </c>
      <c r="C90" s="40">
        <f>Alice_Master_Analysis_View[[#This Row],[Sortie_60_energy_OpEx]]</f>
        <v>135.78040896000002</v>
      </c>
      <c r="D90">
        <v>1</v>
      </c>
      <c r="E90" s="41">
        <f t="shared" si="2"/>
        <v>2124.4053848383091</v>
      </c>
      <c r="F90">
        <f t="shared" si="3"/>
        <v>135.78040896000002</v>
      </c>
    </row>
    <row r="91" spans="1:6" x14ac:dyDescent="0.2">
      <c r="A91" t="str">
        <f>Alice_Master_Analysis_View[[#This Row],[flight_id]]</f>
        <v>FL-00090</v>
      </c>
      <c r="B91" s="9">
        <f>Alice_Master_Analysis_View[[#This Row],[Net_Profit_60]]</f>
        <v>2321.3730986177843</v>
      </c>
      <c r="C91" s="40">
        <f>Alice_Master_Analysis_View[[#This Row],[Sortie_60_energy_OpEx]]</f>
        <v>134.25439104000003</v>
      </c>
      <c r="D91">
        <v>1</v>
      </c>
      <c r="E91" s="41">
        <f t="shared" si="2"/>
        <v>2321.3730986177843</v>
      </c>
      <c r="F91">
        <f t="shared" si="3"/>
        <v>134.25439104000003</v>
      </c>
    </row>
    <row r="92" spans="1:6" x14ac:dyDescent="0.2">
      <c r="A92" t="str">
        <f>Alice_Master_Analysis_View[[#This Row],[flight_id]]</f>
        <v>FL-00091</v>
      </c>
      <c r="B92" s="9">
        <f>Alice_Master_Analysis_View[[#This Row],[Net_Profit_60]]</f>
        <v>597.54529860025241</v>
      </c>
      <c r="C92" s="40">
        <f>Alice_Master_Analysis_View[[#This Row],[Sortie_60_energy_OpEx]]</f>
        <v>121.39370879999998</v>
      </c>
      <c r="D92">
        <v>0</v>
      </c>
      <c r="E92" s="41">
        <f t="shared" si="2"/>
        <v>0</v>
      </c>
      <c r="F92">
        <f t="shared" si="3"/>
        <v>0</v>
      </c>
    </row>
    <row r="93" spans="1:6" x14ac:dyDescent="0.2">
      <c r="A93" t="str">
        <f>Alice_Master_Analysis_View[[#This Row],[flight_id]]</f>
        <v>FL-00092</v>
      </c>
      <c r="B93" s="9">
        <f>Alice_Master_Analysis_View[[#This Row],[Net_Profit_60]]</f>
        <v>534.22193620449571</v>
      </c>
      <c r="C93" s="40">
        <f>Alice_Master_Analysis_View[[#This Row],[Sortie_60_energy_OpEx]]</f>
        <v>118.84318655999999</v>
      </c>
      <c r="D93">
        <v>0</v>
      </c>
      <c r="E93" s="41">
        <f t="shared" si="2"/>
        <v>0</v>
      </c>
      <c r="F93">
        <f t="shared" si="3"/>
        <v>0</v>
      </c>
    </row>
    <row r="94" spans="1:6" x14ac:dyDescent="0.2">
      <c r="A94" t="str">
        <f>Alice_Master_Analysis_View[[#This Row],[flight_id]]</f>
        <v>FL-00093</v>
      </c>
      <c r="B94" s="9">
        <f>Alice_Master_Analysis_View[[#This Row],[Net_Profit_60]]</f>
        <v>-163.25308000602854</v>
      </c>
      <c r="C94" s="40">
        <f>Alice_Master_Analysis_View[[#This Row],[Sortie_60_energy_OpEx]]</f>
        <v>121.92698111999999</v>
      </c>
      <c r="D94">
        <v>0</v>
      </c>
      <c r="E94" s="41">
        <f t="shared" si="2"/>
        <v>0</v>
      </c>
      <c r="F94">
        <f t="shared" si="3"/>
        <v>0</v>
      </c>
    </row>
    <row r="95" spans="1:6" x14ac:dyDescent="0.2">
      <c r="A95" t="str">
        <f>Alice_Master_Analysis_View[[#This Row],[flight_id]]</f>
        <v>FL-00094</v>
      </c>
      <c r="B95" s="9">
        <f>Alice_Master_Analysis_View[[#This Row],[Net_Profit_60]]</f>
        <v>1490.2678431788397</v>
      </c>
      <c r="C95" s="40">
        <f>Alice_Master_Analysis_View[[#This Row],[Sortie_60_energy_OpEx]]</f>
        <v>121.57626431999999</v>
      </c>
      <c r="D95">
        <v>1</v>
      </c>
      <c r="E95" s="41">
        <f t="shared" si="2"/>
        <v>1490.2678431788397</v>
      </c>
      <c r="F95">
        <f t="shared" si="3"/>
        <v>121.57626431999999</v>
      </c>
    </row>
    <row r="96" spans="1:6" x14ac:dyDescent="0.2">
      <c r="A96" t="str">
        <f>Alice_Master_Analysis_View[[#This Row],[flight_id]]</f>
        <v>FL-00095</v>
      </c>
      <c r="B96" s="9">
        <f>Alice_Master_Analysis_View[[#This Row],[Net_Profit_60]]</f>
        <v>453.97427478413465</v>
      </c>
      <c r="C96" s="40">
        <f>Alice_Master_Analysis_View[[#This Row],[Sortie_60_energy_OpEx]]</f>
        <v>122.19498815999999</v>
      </c>
      <c r="D96">
        <v>0</v>
      </c>
      <c r="E96" s="41">
        <f t="shared" si="2"/>
        <v>0</v>
      </c>
      <c r="F96">
        <f t="shared" si="3"/>
        <v>0</v>
      </c>
    </row>
    <row r="97" spans="1:6" x14ac:dyDescent="0.2">
      <c r="A97" t="str">
        <f>Alice_Master_Analysis_View[[#This Row],[flight_id]]</f>
        <v>FL-00096</v>
      </c>
      <c r="B97" s="9">
        <f>Alice_Master_Analysis_View[[#This Row],[Net_Profit_60]]</f>
        <v>1566.9262393454214</v>
      </c>
      <c r="C97" s="40">
        <f>Alice_Master_Analysis_View[[#This Row],[Sortie_60_energy_OpEx]]</f>
        <v>135.81171072000001</v>
      </c>
      <c r="D97">
        <v>1</v>
      </c>
      <c r="E97" s="41">
        <f t="shared" si="2"/>
        <v>1566.9262393454214</v>
      </c>
      <c r="F97">
        <f t="shared" si="3"/>
        <v>135.81171072000001</v>
      </c>
    </row>
    <row r="98" spans="1:6" x14ac:dyDescent="0.2">
      <c r="A98" t="str">
        <f>Alice_Master_Analysis_View[[#This Row],[flight_id]]</f>
        <v>FL-00097</v>
      </c>
      <c r="B98" s="9">
        <f>Alice_Master_Analysis_View[[#This Row],[Net_Profit_60]]</f>
        <v>595.38840774901928</v>
      </c>
      <c r="C98" s="40">
        <f>Alice_Master_Analysis_View[[#This Row],[Sortie_60_energy_OpEx]]</f>
        <v>121.77527040000001</v>
      </c>
      <c r="D98">
        <v>0</v>
      </c>
      <c r="E98" s="41">
        <f t="shared" si="2"/>
        <v>0</v>
      </c>
      <c r="F98">
        <f t="shared" si="3"/>
        <v>0</v>
      </c>
    </row>
    <row r="99" spans="1:6" x14ac:dyDescent="0.2">
      <c r="A99" t="str">
        <f>Alice_Master_Analysis_View[[#This Row],[flight_id]]</f>
        <v>FL-00098</v>
      </c>
      <c r="B99" s="9">
        <f>Alice_Master_Analysis_View[[#This Row],[Net_Profit_60]]</f>
        <v>-448.21385994226671</v>
      </c>
      <c r="C99" s="40">
        <f>Alice_Master_Analysis_View[[#This Row],[Sortie_60_energy_OpEx]]</f>
        <v>121.2863232</v>
      </c>
      <c r="D99">
        <v>0</v>
      </c>
      <c r="E99" s="41">
        <f t="shared" si="2"/>
        <v>0</v>
      </c>
      <c r="F99">
        <f t="shared" si="3"/>
        <v>0</v>
      </c>
    </row>
    <row r="100" spans="1:6" x14ac:dyDescent="0.2">
      <c r="A100" t="str">
        <f>Alice_Master_Analysis_View[[#This Row],[flight_id]]</f>
        <v>FL-00099</v>
      </c>
      <c r="B100" s="9">
        <f>Alice_Master_Analysis_View[[#This Row],[Net_Profit_60]]</f>
        <v>1044.8851478823035</v>
      </c>
      <c r="C100" s="40">
        <f>Alice_Master_Analysis_View[[#This Row],[Sortie_60_energy_OpEx]]</f>
        <v>134.37457152000002</v>
      </c>
      <c r="D100">
        <v>1</v>
      </c>
      <c r="E100" s="41">
        <f t="shared" si="2"/>
        <v>1044.8851478823035</v>
      </c>
      <c r="F100">
        <f t="shared" si="3"/>
        <v>134.37457152000002</v>
      </c>
    </row>
    <row r="101" spans="1:6" x14ac:dyDescent="0.2">
      <c r="A101" t="str">
        <f>Alice_Master_Analysis_View[[#This Row],[flight_id]]</f>
        <v>FL-00100</v>
      </c>
      <c r="B101" s="9">
        <f>Alice_Master_Analysis_View[[#This Row],[Net_Profit_60]]</f>
        <v>433.25123383859818</v>
      </c>
      <c r="C101" s="40">
        <f>Alice_Master_Analysis_View[[#This Row],[Sortie_60_energy_OpEx]]</f>
        <v>121.46842176000001</v>
      </c>
      <c r="D101">
        <v>0</v>
      </c>
      <c r="E101" s="41">
        <f t="shared" si="2"/>
        <v>0</v>
      </c>
      <c r="F101">
        <f t="shared" si="3"/>
        <v>0</v>
      </c>
    </row>
  </sheetData>
  <mergeCells count="3">
    <mergeCell ref="H2:K2"/>
    <mergeCell ref="H4:K4"/>
    <mergeCell ref="H5:K5"/>
  </mergeCells>
  <conditionalFormatting sqref="D1:D1048576">
    <cfRule type="iconSet" priority="3">
      <iconSet>
        <cfvo type="percent" val="0"/>
        <cfvo type="percent" val="33"/>
        <cfvo type="percent" val="67"/>
      </iconSet>
    </cfRule>
  </conditionalFormatting>
  <conditionalFormatting sqref="E1:E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{A3E8ABC8-9E12-9248-9E78-D9BD4F311FD2}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E8ABC8-9E12-9248-9E78-D9BD4F311FD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A81E-8408-994A-AA44-CEF6A2023D3A}">
  <sheetPr>
    <outlinePr summaryBelow="0"/>
  </sheetPr>
  <dimension ref="B1:G11"/>
  <sheetViews>
    <sheetView showGridLines="0" zoomScale="136" workbookViewId="0">
      <selection activeCell="H36" sqref="H36"/>
    </sheetView>
  </sheetViews>
  <sheetFormatPr baseColWidth="10" defaultRowHeight="16" outlineLevelRow="1" outlineLevelCol="1" x14ac:dyDescent="0.2"/>
  <cols>
    <col min="3" max="3" width="21.83203125" customWidth="1"/>
    <col min="4" max="5" width="14.5" bestFit="1" customWidth="1" outlineLevel="1"/>
    <col min="6" max="6" width="14.1640625" bestFit="1" customWidth="1" outlineLevel="1"/>
    <col min="7" max="7" width="14.5" bestFit="1" customWidth="1" outlineLevel="1"/>
  </cols>
  <sheetData>
    <row r="1" spans="2:7" ht="17" thickBot="1" x14ac:dyDescent="0.25"/>
    <row r="2" spans="2:7" ht="19" x14ac:dyDescent="0.25">
      <c r="B2" s="24" t="s">
        <v>219</v>
      </c>
      <c r="C2" s="24"/>
      <c r="D2" s="29"/>
      <c r="E2" s="29"/>
      <c r="F2" s="29"/>
      <c r="G2" s="29"/>
    </row>
    <row r="3" spans="2:7" ht="19" collapsed="1" x14ac:dyDescent="0.25">
      <c r="B3" s="23"/>
      <c r="C3" s="23"/>
      <c r="D3" s="30" t="s">
        <v>221</v>
      </c>
      <c r="E3" s="30" t="s">
        <v>216</v>
      </c>
      <c r="F3" s="30" t="s">
        <v>217</v>
      </c>
      <c r="G3" s="30" t="s">
        <v>218</v>
      </c>
    </row>
    <row r="4" spans="2:7" ht="36" hidden="1" outlineLevel="1" x14ac:dyDescent="0.2">
      <c r="B4" s="26"/>
      <c r="C4" s="26"/>
      <c r="D4" s="22"/>
      <c r="E4" s="32" t="s">
        <v>228</v>
      </c>
      <c r="F4" s="32" t="s">
        <v>228</v>
      </c>
      <c r="G4" s="32"/>
    </row>
    <row r="5" spans="2:7" x14ac:dyDescent="0.2">
      <c r="B5" s="27" t="s">
        <v>220</v>
      </c>
      <c r="C5" s="27"/>
      <c r="D5" s="25"/>
      <c r="E5" s="25"/>
      <c r="F5" s="25"/>
      <c r="G5" s="25"/>
    </row>
    <row r="6" spans="2:7" outlineLevel="1" x14ac:dyDescent="0.2">
      <c r="B6" s="26"/>
      <c r="C6" s="26" t="s">
        <v>223</v>
      </c>
      <c r="D6" s="22">
        <v>0.18</v>
      </c>
      <c r="E6" s="31">
        <v>0.08</v>
      </c>
      <c r="F6" s="31">
        <v>0.3</v>
      </c>
      <c r="G6" s="31">
        <v>0.18</v>
      </c>
    </row>
    <row r="7" spans="2:7" outlineLevel="1" x14ac:dyDescent="0.2">
      <c r="B7" s="26"/>
      <c r="C7" s="26" t="s">
        <v>224</v>
      </c>
      <c r="D7" s="22">
        <v>2.25</v>
      </c>
      <c r="E7" s="31">
        <v>4</v>
      </c>
      <c r="F7" s="31">
        <v>1.2</v>
      </c>
      <c r="G7" s="31">
        <v>3</v>
      </c>
    </row>
    <row r="8" spans="2:7" x14ac:dyDescent="0.2">
      <c r="B8" s="27" t="s">
        <v>222</v>
      </c>
      <c r="C8" s="27"/>
      <c r="D8" s="25"/>
      <c r="E8" s="25"/>
      <c r="F8" s="25"/>
      <c r="G8" s="25"/>
    </row>
    <row r="9" spans="2:7" ht="17" outlineLevel="1" thickBot="1" x14ac:dyDescent="0.25">
      <c r="B9" s="28"/>
      <c r="C9" s="28" t="s">
        <v>206</v>
      </c>
      <c r="D9" s="33">
        <v>108956.20146175601</v>
      </c>
      <c r="E9" s="33">
        <v>324787.261679622</v>
      </c>
      <c r="F9" s="33">
        <v>-24767.2680974428</v>
      </c>
      <c r="G9" s="33">
        <v>198437.489106213</v>
      </c>
    </row>
    <row r="11" spans="2:7" x14ac:dyDescent="0.2">
      <c r="B11" t="s">
        <v>225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9E82BB-DCBB-BB47-9E81-9EA3F2A346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Executive Summary</vt:lpstr>
      <vt:lpstr>Financial_Analysis_View</vt:lpstr>
      <vt:lpstr>Insights_Analysis</vt:lpstr>
      <vt:lpstr>Tool_MissionUnit_ROI</vt:lpstr>
      <vt:lpstr>Tool_Fleet_Optimization_Solver</vt:lpstr>
      <vt:lpstr>View_Sensitivity Scenario</vt:lpstr>
      <vt:lpstr>val_battery_cost</vt:lpstr>
      <vt:lpstr>val_capacity</vt:lpstr>
      <vt:lpstr>val_charging_loss</vt:lpstr>
      <vt:lpstr>val_cycle</vt:lpstr>
      <vt:lpstr>val_elec_rate</vt:lpstr>
      <vt:lpstr>val_ground_ops</vt:lpstr>
      <vt:lpstr>val_max_payload</vt:lpstr>
      <vt:lpstr>val_stress_factor</vt:lpstr>
      <vt:lpstr>val_yield_rate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Gan</dc:creator>
  <cp:lastModifiedBy>Kat Gan</cp:lastModifiedBy>
  <dcterms:created xsi:type="dcterms:W3CDTF">2026-04-01T22:02:16Z</dcterms:created>
  <dcterms:modified xsi:type="dcterms:W3CDTF">2026-04-02T23:37:08Z</dcterms:modified>
</cp:coreProperties>
</file>